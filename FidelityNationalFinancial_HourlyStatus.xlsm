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defaultThemeVersion="166925"/>
  <mc:AlternateContent xmlns:mc="http://schemas.openxmlformats.org/markup-compatibility/2006">
    <mc:Choice Requires="x15">
      <x15ac:absPath xmlns:x15ac="http://schemas.microsoft.com/office/spreadsheetml/2010/11/ac" url="C:\Users\v-bukaka\Desktop\"/>
    </mc:Choice>
  </mc:AlternateContent>
  <xr:revisionPtr revIDLastSave="0" documentId="13_ncr:1_{57C039C0-AC44-4257-9743-E623028A64A4}" xr6:coauthVersionLast="43" xr6:coauthVersionMax="44" xr10:uidLastSave="{00000000-0000-0000-0000-000000000000}"/>
  <bookViews>
    <workbookView xWindow="-108" yWindow="-108" windowWidth="23256" windowHeight="12576" tabRatio="486" firstSheet="3" activeTab="3" xr2:uid="{A552C033-3CFF-4359-8C6C-EE411624B58D}"/>
  </bookViews>
  <sheets>
    <sheet name="Week - 1706" sheetId="1" r:id="rId1"/>
    <sheet name="Week - 2406" sheetId="2" r:id="rId2"/>
    <sheet name="Week - 0107" sheetId="3" r:id="rId3"/>
    <sheet name="Task Tracker" sheetId="5" r:id="rId4"/>
    <sheet name="Week - 0807" sheetId="4" r:id="rId5"/>
    <sheet name="Week - 1507" sheetId="8" r:id="rId6"/>
    <sheet name="Week - 2207" sheetId="6" r:id="rId7"/>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7" i="5" l="1" a="1"/>
  <c r="U17"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<sst xmlns="http://schemas.openxmlformats.org/spreadsheetml/2006/main" count="412" uniqueCount="219">
  <si>
    <t>Migration event</t>
  </si>
  <si>
    <t>Environment</t>
  </si>
  <si>
    <t>Window Start - End (EST)</t>
  </si>
  <si>
    <t>Rollback/Go</t>
  </si>
  <si>
    <t xml:space="preserve">Status </t>
  </si>
  <si>
    <t>Playbook Task Status</t>
  </si>
  <si>
    <t>Comments</t>
  </si>
  <si>
    <t>Impact</t>
  </si>
  <si>
    <t>Pre-Pod</t>
  </si>
  <si>
    <t>Start: 6/19/2019  2:00:00 PM
End: 6/20/2019  9:00:00 PM</t>
  </si>
  <si>
    <t>Complete</t>
  </si>
  <si>
    <t xml:space="preserve">Total Tasks: 22
Tasks Completed Count: 20
Tasks Completed: 46 - 68
In-Progress Tasks: </t>
  </si>
  <si>
    <r>
      <t xml:space="preserve">Functionality testing and Integration testing completed
</t>
    </r>
    <r>
      <rPr>
        <b/>
        <sz val="11"/>
        <color theme="1"/>
        <rFont val="Calibri"/>
        <family val="2"/>
        <scheme val="minor"/>
      </rPr>
      <t>Received Go</t>
    </r>
  </si>
  <si>
    <t>Imaging Ecosystem - Load Test</t>
  </si>
  <si>
    <t>Start: 6/20/2019  12:00:00 AM
End: 6/20/2019  9:30:00 PM</t>
  </si>
  <si>
    <t>Green – Load Test</t>
  </si>
  <si>
    <t>Total Tasks: 53
Tasks Completed Count: 41
Tasks Completed: 60-97, 100-104, 107 - 109
In-Progress Tasks: 110 - 116</t>
  </si>
  <si>
    <r>
      <t xml:space="preserve">Smoke test is still in progress. HR Imaging and Acct Imaging OK.  Oracle Imaging IBM Firewall network connectivity resolved
</t>
    </r>
    <r>
      <rPr>
        <sz val="11"/>
        <color rgb="FFC00000"/>
        <rFont val="Calibri"/>
        <family val="2"/>
        <scheme val="minor"/>
      </rPr>
      <t>Server Configurations, URL, Workflows and performance test completed. Load test activities are in progress</t>
    </r>
    <r>
      <rPr>
        <sz val="11"/>
        <color theme="1"/>
        <rFont val="Calibri"/>
        <family val="2"/>
        <scheme val="minor"/>
      </rPr>
      <t xml:space="preserve">
On-Schedule</t>
    </r>
  </si>
  <si>
    <t>FNTG Clearance - Load Test</t>
  </si>
  <si>
    <t>Start: 6/18/2019  4:00:00 AM
End: 7/2/2019  10:30:00 AM</t>
  </si>
  <si>
    <t>Green – Performance Test</t>
  </si>
  <si>
    <t>Total Tasks: 52
Tasks Completed Count: 41
Tasks Completed: 60, 81 - 96, 98-99, 111-136
In-Progress Tasks: 100-107</t>
  </si>
  <si>
    <r>
      <t xml:space="preserve">Migration activities and post migration activities are completed. During smoke test, faced performance issue and the vm size of web and DB servers are scaled up.
</t>
    </r>
    <r>
      <rPr>
        <sz val="11"/>
        <color rgb="FFC00000"/>
        <rFont val="Calibri"/>
        <family val="2"/>
        <scheme val="minor"/>
      </rPr>
      <t>Load test validation is completed and performance test validation is in progress. CPU utilization is more and seeing 502 errors, raised ticket #119062421001580 with MS. MS working on bridge</t>
    </r>
    <r>
      <rPr>
        <sz val="11"/>
        <color theme="1"/>
        <rFont val="Calibri"/>
        <family val="2"/>
        <scheme val="minor"/>
      </rPr>
      <t xml:space="preserve">
On-Schedule</t>
    </r>
  </si>
  <si>
    <t>iClose</t>
  </si>
  <si>
    <t>Prod</t>
  </si>
  <si>
    <t>Start: 6/21/2019  10:00:00 PM
End: 6/22/2019  8:30:00 PM</t>
  </si>
  <si>
    <t xml:space="preserve">Total Tasks: 70
Tasks Completed Count: 70
Tasks Completed: 58 - 66, 68 - 106, 109 - 130
In-Progress Tasks: </t>
  </si>
  <si>
    <r>
      <t>Migration activities on Web / App / DB completed.
Post-migration activities are complete. DB Connection fixed as well. GPO issues fixed. Functionality &amp; Integration testing successful. Backup and DR activities completed</t>
    </r>
    <r>
      <rPr>
        <sz val="11"/>
        <color rgb="FFC00000"/>
        <rFont val="Calibri"/>
        <family val="2"/>
        <scheme val="minor"/>
      </rPr>
      <t xml:space="preserve">
</t>
    </r>
    <r>
      <rPr>
        <b/>
        <sz val="11"/>
        <color theme="1"/>
        <rFont val="Calibri"/>
        <family val="2"/>
        <scheme val="minor"/>
      </rPr>
      <t>Received GO</t>
    </r>
  </si>
  <si>
    <t>Intranet</t>
  </si>
  <si>
    <t>Start: 6/21/2019  10:00:00 PM
End: 6/22/2019  9:30:00 PM</t>
  </si>
  <si>
    <t>Red - Rollback Completed</t>
  </si>
  <si>
    <t xml:space="preserve">Total Tasks: 70
Tasks Completed Count: 47
Tasks Completed: 68 - 106, 142 to 164
In-Progress Tasks: </t>
  </si>
  <si>
    <r>
      <t xml:space="preserve">Migration activities on Web / App / DB completed.
Post-Migration activities complete/ SQL Linked Server configuration updated
</t>
    </r>
    <r>
      <rPr>
        <sz val="11"/>
        <color rgb="FFC00000"/>
        <rFont val="Calibri"/>
        <family val="2"/>
        <scheme val="minor"/>
      </rPr>
      <t>Rollback to Phoenix  is completed successfully and the same has been validated by App owner</t>
    </r>
    <r>
      <rPr>
        <sz val="11"/>
        <color theme="1"/>
        <rFont val="Calibri"/>
        <family val="2"/>
        <scheme val="minor"/>
      </rPr>
      <t xml:space="preserve">
</t>
    </r>
    <r>
      <rPr>
        <b/>
        <sz val="11"/>
        <color theme="1"/>
        <rFont val="Calibri"/>
        <family val="2"/>
        <scheme val="minor"/>
      </rPr>
      <t>Rollback Successful</t>
    </r>
  </si>
  <si>
    <t>RSAM Prod (Single SSRS Server)</t>
  </si>
  <si>
    <t>Start: 6/20/2019  7:00:00 PM
End: 6/21/2019  3:00:00 AM</t>
  </si>
  <si>
    <t>Not Applicable</t>
  </si>
  <si>
    <t xml:space="preserve">Complete </t>
  </si>
  <si>
    <t xml:space="preserve">Total Tasks: 7
Tasks Completed Count: 7
Tasks Completed: 1 - 7
In-Progress Tasks: </t>
  </si>
  <si>
    <r>
      <t xml:space="preserve">Database Migration Complete
SSRS Functionality test complete.
</t>
    </r>
    <r>
      <rPr>
        <b/>
        <sz val="11"/>
        <color theme="1"/>
        <rFont val="Calibri"/>
        <family val="2"/>
        <scheme val="minor"/>
      </rPr>
      <t>Received GO</t>
    </r>
  </si>
  <si>
    <t>Softpro Select - CO</t>
  </si>
  <si>
    <t>Start: 6/20/2019  9:00:00 PM
End: 6/21/2019  2:00:00 PM</t>
  </si>
  <si>
    <t>Total Tasks: 52
Tasks Completed Count: 52
Tasks Completed: 55 - 87, 103-104, 115-124
Pending Task: None</t>
  </si>
  <si>
    <r>
      <t xml:space="preserve">Database Migration tasks complete
Functionality test Complete. 
</t>
    </r>
    <r>
      <rPr>
        <b/>
        <sz val="11"/>
        <color theme="1"/>
        <rFont val="Calibri"/>
        <family val="2"/>
        <scheme val="minor"/>
      </rPr>
      <t>Received GO</t>
    </r>
    <r>
      <rPr>
        <sz val="11"/>
        <color theme="1"/>
        <rFont val="Calibri"/>
        <family val="2"/>
        <scheme val="minor"/>
      </rPr>
      <t xml:space="preserve">
Backup/DR Tasks complete.</t>
    </r>
  </si>
  <si>
    <t>Softpro Select - NV</t>
  </si>
  <si>
    <t>Start: 6/20/2019  9:00:00 PM
End: 6/21/2019  1:15:00 PM</t>
  </si>
  <si>
    <t>Complete - Pending Source Server Shutdown</t>
  </si>
  <si>
    <t>Total Tasks: 36
Tasks Completed Count: 35
Tasks Completed: 61 - 81, 97 - 98, 108 - 118
Pending Task: 99</t>
  </si>
  <si>
    <r>
      <t xml:space="preserve">Database Migration tasks complete
Functionality test Complete. 
</t>
    </r>
    <r>
      <rPr>
        <b/>
        <sz val="11"/>
        <color theme="1"/>
        <rFont val="Calibri"/>
        <family val="2"/>
        <scheme val="minor"/>
      </rPr>
      <t>Received GO</t>
    </r>
    <r>
      <rPr>
        <sz val="11"/>
        <color theme="1"/>
        <rFont val="Calibri"/>
        <family val="2"/>
        <scheme val="minor"/>
      </rPr>
      <t xml:space="preserve">
Backup/DR Tasks complete
The server PHXSSPSNVTS01 pending as app owner testing an issue in Texas and needed a production terminal server to test with.The server is in maintenance mode.Brian will probably be using this for the next week or so, then will shut it down</t>
    </r>
  </si>
  <si>
    <t>FFP</t>
  </si>
  <si>
    <t>Start: 6/21/2019  6:00:00 PM
End: 6/22/2019  5:30:00 PM</t>
  </si>
  <si>
    <t>Green - Functionality Testing</t>
  </si>
  <si>
    <t>Total Tasks: 66
Tasks Completed Count: 41
Tasks Completed: 55 to 93, 99
In-Progress Tasks: 103-104</t>
  </si>
  <si>
    <r>
      <t xml:space="preserve">Migration activities complete
Post-Migration activities Complete. Certificate Issues resolved, website is up 
</t>
    </r>
    <r>
      <rPr>
        <sz val="11"/>
        <color rgb="FFC00000"/>
        <rFont val="Calibri"/>
        <family val="2"/>
        <scheme val="minor"/>
      </rPr>
      <t>Currently executing SQL Jobs and validating coun</t>
    </r>
    <r>
      <rPr>
        <sz val="11"/>
        <color theme="1"/>
        <rFont val="Calibri"/>
        <family val="2"/>
        <scheme val="minor"/>
      </rPr>
      <t xml:space="preserve">t
</t>
    </r>
    <r>
      <rPr>
        <b/>
        <sz val="11"/>
        <color theme="1"/>
        <rFont val="Calibri"/>
        <family val="2"/>
        <scheme val="minor"/>
      </rPr>
      <t>On-Schedule</t>
    </r>
  </si>
  <si>
    <t>6/22/19 4:40  PM</t>
  </si>
  <si>
    <t>Green - Application Smoke Test</t>
  </si>
  <si>
    <t>Total Tasks: 70
Tasks Completed Count: 45
Tasks Completed: 58 - 66, 68 - 104, 106
In-Progress Tasks: 105</t>
  </si>
  <si>
    <t>Migration activities on Web / App / DB completed.
Post-migration activities are complete. DB Connection fixed as well.
Application Smoke testing in-progress
Ahead of Schedule</t>
  </si>
  <si>
    <t>Green - Post Migration Activities in Progress</t>
  </si>
  <si>
    <t>Total Tasks: 70
Tasks Completed Count: 45
Tasks Completed: 68 - 105
In-Progress Tasks: 106</t>
  </si>
  <si>
    <t>Migration activities on Web / App / DB completed.
Post-Migration - Application Settings Update in-progres
On-Schedule</t>
  </si>
  <si>
    <t>Yellow - Paused</t>
  </si>
  <si>
    <t>Total Tasks: 22
Tasks Completed Count: 18
Tasks Completed: 46 - 64
In-Progress Tasks: 65 - 68</t>
  </si>
  <si>
    <t>Post-Migration tasks assigned to the respective teams and the tasks are in progress. Functionality testing completed.Integration testing in progress
Behind Schedule</t>
  </si>
  <si>
    <t>Yellow – Load Test Tasks</t>
  </si>
  <si>
    <t>Total Tasks: 53
Tasks Completed Count: 41
Tasks Completed: 60-97, 100-103
In-Progress Tasks: 104, 107,116</t>
  </si>
  <si>
    <r>
      <t xml:space="preserve">Smoke test is still in progress. HR Imaging and Acct Imaging OK.  Oracle Imaging IBM Firewall network connectivity resolved
</t>
    </r>
    <r>
      <rPr>
        <sz val="11"/>
        <color rgb="FFC00000"/>
        <rFont val="Calibri"/>
        <family val="2"/>
        <scheme val="minor"/>
      </rPr>
      <t xml:space="preserve">Server shutdown and Load test tasks in-progress
</t>
    </r>
    <r>
      <rPr>
        <b/>
        <sz val="11"/>
        <color theme="1"/>
        <rFont val="Calibri"/>
        <family val="2"/>
        <scheme val="minor"/>
      </rPr>
      <t>Behind Schedule</t>
    </r>
  </si>
  <si>
    <r>
      <t xml:space="preserve">Migration activities and post migration activities are completed. During smoke test, faced performance issue and the vm size of web and DB servers are scaled up.
</t>
    </r>
    <r>
      <rPr>
        <sz val="11"/>
        <color rgb="FFC00000"/>
        <rFont val="Calibri"/>
        <family val="2"/>
        <scheme val="minor"/>
      </rPr>
      <t xml:space="preserve">Load test validation is completed and performance test validation is in progress.
</t>
    </r>
    <r>
      <rPr>
        <b/>
        <sz val="11"/>
        <color theme="1"/>
        <rFont val="Calibri"/>
        <family val="2"/>
        <scheme val="minor"/>
      </rPr>
      <t>On-Schedule</t>
    </r>
  </si>
  <si>
    <t>Total Tasks: 7
Tasks Completed Count: 7
Tasks Completed: 1 - 7
In-Progress Tasks: 100-107</t>
  </si>
  <si>
    <t>Total Tasks: 52
Tasks Completed Count: 51
Tasks Completed: 55 - 87, 103-104, 115-124
Pending Task: 105</t>
  </si>
  <si>
    <r>
      <t xml:space="preserve">Database Migration tasks complete
Functionality test Complete. </t>
    </r>
    <r>
      <rPr>
        <b/>
        <sz val="11"/>
        <color theme="1"/>
        <rFont val="Calibri"/>
        <family val="2"/>
        <scheme val="minor"/>
      </rPr>
      <t>Received GO</t>
    </r>
    <r>
      <rPr>
        <sz val="11"/>
        <color theme="1"/>
        <rFont val="Calibri"/>
        <family val="2"/>
        <scheme val="minor"/>
      </rPr>
      <t xml:space="preserve">
Backup/DR Tasks complete
</t>
    </r>
    <r>
      <rPr>
        <sz val="11"/>
        <color rgb="FFC00000"/>
        <rFont val="Calibri"/>
        <family val="2"/>
        <scheme val="minor"/>
      </rPr>
      <t>Team agreed to shutdown source server after user validation</t>
    </r>
  </si>
  <si>
    <t>AVS</t>
  </si>
  <si>
    <t>Start: 7/6/2019  12:00:00 AM
End: 7/6/2019  12:30:00 PM</t>
  </si>
  <si>
    <t xml:space="preserve">Total Tasks: 44
Tasks Completed Count: 44
Tasks Completed: 57 -  105
In-Progress Tasks: </t>
  </si>
  <si>
    <r>
      <t xml:space="preserve">Migration and Post Migration tasks are completed. 
Functionality testing  and integration testing tasks completed
FNTG Clearance validation issue got fixed by enabling SchUseStrongCrypto on the web servers. 
Received </t>
    </r>
    <r>
      <rPr>
        <b/>
        <sz val="11"/>
        <color rgb="FF00B050"/>
        <rFont val="Calibri"/>
        <family val="2"/>
        <scheme val="minor"/>
      </rPr>
      <t>GO</t>
    </r>
    <r>
      <rPr>
        <sz val="11"/>
        <color rgb="FF000000"/>
        <rFont val="Calibri"/>
        <family val="2"/>
        <scheme val="minor"/>
      </rPr>
      <t xml:space="preserve"> for integration testing from all partners. 
Backup tasks and ASR tasks completed.
The application is now live in Azure and post migration support will begin on 7/8/2019 and will end on 7/22/2019
</t>
    </r>
    <r>
      <rPr>
        <b/>
        <sz val="11"/>
        <color rgb="FF000000"/>
        <rFont val="Calibri"/>
        <family val="2"/>
        <scheme val="minor"/>
      </rPr>
      <t>Behind the schedule</t>
    </r>
  </si>
  <si>
    <t>WMA</t>
  </si>
  <si>
    <t>Dev</t>
  </si>
  <si>
    <t>Start: 7/3/2019  8:00:00 AM
End: 7/3/2019  6:00:00 PM</t>
  </si>
  <si>
    <t xml:space="preserve">Total Tasks: 20
Tasks Completed Count: 20
Tasks Completed: until 94
In-Progress Tasks: </t>
  </si>
  <si>
    <t>Functionality and Integration test complete. Received GO
Conditional Go Received with the final issue pending --&gt; Reporting services known issue</t>
  </si>
  <si>
    <t>FIS DB</t>
  </si>
  <si>
    <t>Post</t>
  </si>
  <si>
    <t>FT</t>
  </si>
  <si>
    <t>Bak</t>
  </si>
  <si>
    <t>DR</t>
  </si>
  <si>
    <t>`</t>
  </si>
  <si>
    <t>SoftPro Select - LCT</t>
  </si>
  <si>
    <t>Start: 7/12/2019  7:00:00 PM
End: 7/15/2019  7:30:00 PM</t>
  </si>
  <si>
    <t>Green</t>
  </si>
  <si>
    <t>Total Tasks: 77
Tasks Completed Count:75
Tasks Completed: until 156
In-Progress Tasks: 140</t>
  </si>
  <si>
    <t>DR Setup Complete
Functionality/Integration Testing is completed. 
Post Integration tasks in-progress
Received a GO</t>
  </si>
  <si>
    <t>SoftPro Select - NM</t>
  </si>
  <si>
    <t>Start: 7/12/2019  9:00:00 PM
End: 7/15/2019  7:30:00 PM</t>
  </si>
  <si>
    <t>SoftPro Select - IDM</t>
  </si>
  <si>
    <t>Total Tasks: 77
Tasks Completed Count:75
Tasks Completed: until 156
In-Progress Tasks:  141</t>
  </si>
  <si>
    <t>SoftPro Select - IL</t>
  </si>
  <si>
    <t>Total Tasks: 77
Tasks Completed Count: 63
Tasks Completed: until 156
In-Progress Tasks: 213,214,216</t>
  </si>
  <si>
    <t>SoftPro Select - AZ</t>
  </si>
  <si>
    <t>Start: 7/12/2019  10:00:00 PM
End: 7/15/2019  7:30:00 PM</t>
  </si>
  <si>
    <t>Total Tasks: 77
Tasks Completed Count:75
Tasks Completed: until 156
In-Progress Tasks: 140</t>
  </si>
  <si>
    <t>FRS Ecosystem</t>
  </si>
  <si>
    <t>Start: 7/12/2019 10:00 PM
End: 7/13/2019 2:30 AM</t>
  </si>
  <si>
    <t>Rollback</t>
  </si>
  <si>
    <t xml:space="preserve">Total Tasks: 54
Tasks Completed Count: 23
Tasks Completed: 55- 67,76,78 - 79,86
In-Progress Tasks: </t>
  </si>
  <si>
    <t xml:space="preserve">Initial migration and storage tasks completed
Database Migration Complete
Web Server migration tasks are complete. 
Citrix tasks are completed.
Application Gateway issue &amp; Paolo Device Configuration Fixed
Functionality test failed due to TLS 1.2 requirement. 
FRS Roll-back completed successfully. Application functionality GO received
</t>
  </si>
  <si>
    <t>TRA Ecosystem</t>
  </si>
  <si>
    <t>Development</t>
  </si>
  <si>
    <t>Start: 7/7/2019  10:30:00 PM
End: 7/8/2019  11:30:00 PM</t>
  </si>
  <si>
    <t>Total Tasks: 43
Tasks Completed Count:43
Tasks Completed:73 to 89
In-Progress Tasks: </t>
  </si>
  <si>
    <t>Rate engine is working fine now after the URL move
Missing SQL instance has been migrated.
External URL’s and health probes issue got fixed.
Functionality/Integration Testing is completed. 
Received a GO</t>
  </si>
  <si>
    <t>FOW</t>
  </si>
  <si>
    <t>Prod - Dress Rehearsal</t>
  </si>
  <si>
    <t>Start: 7/8/2019  1:00:00 AM
End: 7/9/2019  3:30:00 AM</t>
  </si>
  <si>
    <t>Total Tasks: 57
Tasks Completed Count:57
Tasks Completed: 85 to 151
In-Progress Tasks:  </t>
  </si>
  <si>
    <r>
      <t xml:space="preserve">DR and Logshipping Complete
Post Dress Rehearsal Cleanup task completed.
All the tasks have been completed.
</t>
    </r>
    <r>
      <rPr>
        <b/>
        <sz val="11"/>
        <color theme="1"/>
        <rFont val="Calibri"/>
        <family val="2"/>
        <scheme val="minor"/>
      </rPr>
      <t>Received a GO</t>
    </r>
  </si>
  <si>
    <t>Env</t>
  </si>
  <si>
    <t>SPS - CP</t>
  </si>
  <si>
    <t>Start: 7/19/2019  8:00:00 PM
End: 7/21/2019 1:00:00 PM</t>
  </si>
  <si>
    <t>Total Tasks: 77
Tasks Completed Count:77
Tasks Completed:  83 - 162
In-Progress Tasks: </t>
  </si>
  <si>
    <t>Migration activities completed on the databases
Functionality testing and integration testing completed
Backup and DR activities completed on App/Int servers and databases
Post Integration testing tasks completed
Received overall GO </t>
  </si>
  <si>
    <t>SPS - FT</t>
  </si>
  <si>
    <t>Start: 7/19/2019  10:00:00 PM
End: 7/21/2019  12:00:00 PM</t>
  </si>
  <si>
    <t>Total Tasks:77
Tasks Completed Count: 77
Tasks Completed: 84 - 163
In-Progress Tasks: </t>
  </si>
  <si>
    <r>
      <t xml:space="preserve">Migration activities completed on the databases
Functionality testing and integration testing completed
Backup and DR activities completed on App/Int servers and databases
Post Integration testing tasks completed
</t>
    </r>
    <r>
      <rPr>
        <b/>
        <sz val="11"/>
        <color rgb="FF00B050"/>
        <rFont val="Calibri"/>
        <family val="2"/>
        <scheme val="minor"/>
      </rPr>
      <t xml:space="preserve">Received overall GO </t>
    </r>
  </si>
  <si>
    <t>SPS - OR</t>
  </si>
  <si>
    <t>Start: 7/19/2019  10:00:00 PM
End: 7/22/2019 8:30:00 AM</t>
  </si>
  <si>
    <t>Total Tasks: 77
Tasks Completed Count: 73
Tasks Completed: 83 - 158
In-Progress Tasks: 159 - 162</t>
  </si>
  <si>
    <r>
      <t xml:space="preserve">Migration activities completed on the databases
Functionality testing and integration testing completed
Backup and DR activities completed on App/Int servers
Post Integration testing tasks completed
</t>
    </r>
    <r>
      <rPr>
        <b/>
        <sz val="11"/>
        <color rgb="FF00B050"/>
        <rFont val="Calibri"/>
        <family val="2"/>
        <scheme val="minor"/>
      </rPr>
      <t xml:space="preserve">Received overall GO 
</t>
    </r>
    <r>
      <rPr>
        <sz val="11"/>
        <color theme="1"/>
        <rFont val="Calibri"/>
        <family val="2"/>
        <scheme val="minor"/>
      </rPr>
      <t>Disaster recovery (database) restore activities in progress and complete tonight</t>
    </r>
  </si>
  <si>
    <t>SPS - WA</t>
  </si>
  <si>
    <t>Start: 7/19/2019  10:00:00 PM
End: 7/22/2019  9:00:00 AM</t>
  </si>
  <si>
    <r>
      <t xml:space="preserve">Migration activities completed on the databases
Functionality testing and integration testing completed
Backup and DR activities completed on App/Int servers
Post Integration testing tasks completed
</t>
    </r>
    <r>
      <rPr>
        <b/>
        <sz val="11"/>
        <color rgb="FF00B050"/>
        <rFont val="Calibri"/>
        <family val="2"/>
        <scheme val="minor"/>
      </rPr>
      <t xml:space="preserve">Received overall GO </t>
    </r>
    <r>
      <rPr>
        <sz val="11"/>
        <color theme="1"/>
        <rFont val="Calibri"/>
        <family val="2"/>
        <scheme val="minor"/>
      </rPr>
      <t xml:space="preserve">
Disaster recovery (database) restore activities in progress and complete tonight</t>
    </r>
  </si>
  <si>
    <t>CorpSys - Reinsurance</t>
  </si>
  <si>
    <t>Start: 7/17/2019  9:30:00 PM
End: 7/18/2019  7:00:00 PM</t>
  </si>
  <si>
    <t>Total Tasks: 30
Tasks Completed Count: 21
Tasks Completed:  62 - 80, 89 - 92
In-Progress Tasks: 93, 95 - 96</t>
  </si>
  <si>
    <t>Functional Testing started. 
Post Migration Tasks in progress and facing below two issues:
1. GL Application is unable to start task scheduler job of Corpsys. Severity A case has been logged by FNF team with Microsoft and is in progress.
2. SSRS URL issue:  Authentication prompt appearing while accessing SSRS reports. 
&lt;&lt;Update&gt;&gt;
1.	GL scheduler job issue has been resolved, team has shared the detailed information with Chris Howard and Microsoft Support team.
2.	Tom Yuen is working on identifying the issue of SSRS reports not getting generated which is happening in WSReportGenerator application on the web server .
Behind  Schedule</t>
  </si>
  <si>
    <t>FSI - Hawaii</t>
  </si>
  <si>
    <t>Total Tasks: 7
Tasks Completed Count:7
Tasks Completed: 
In-Progress Tasks: </t>
  </si>
  <si>
    <t>IPXLoop</t>
  </si>
  <si>
    <t>EDI Banking</t>
  </si>
  <si>
    <t>Yet to Start</t>
  </si>
  <si>
    <t>Citrix e-banking</t>
  </si>
  <si>
    <t>Start: 7/26/19  9:00 PM
End:   7/27/19  5:00 PM</t>
  </si>
  <si>
    <t>Start: 7/26/19   8:00 PM
End:   7/26/19 11:30 PM</t>
  </si>
  <si>
    <t>Start: 7/27/19 12:00 AM
End:   7/27/19  9:30  PM</t>
  </si>
  <si>
    <t>Start: 7/27/19  11:00 AM
End:   7/27/19    3:00 PM</t>
  </si>
  <si>
    <t>Start: 7/24/19   9:00 AM
End:   7/24/19 10:00 AM</t>
  </si>
  <si>
    <t>IPX</t>
  </si>
  <si>
    <t>Citrix e</t>
  </si>
  <si>
    <t>Migrate Non DB</t>
  </si>
  <si>
    <t>MS DB</t>
  </si>
  <si>
    <t>UAT</t>
  </si>
  <si>
    <t>Monitoring</t>
  </si>
  <si>
    <t xml:space="preserve">ME01 </t>
  </si>
  <si>
    <t>ME02</t>
  </si>
  <si>
    <t>ME03</t>
  </si>
  <si>
    <t>ME04</t>
  </si>
  <si>
    <t>ME05</t>
  </si>
  <si>
    <t>ME06</t>
  </si>
  <si>
    <t>ME07</t>
  </si>
  <si>
    <t>ME08</t>
  </si>
  <si>
    <t>ME09</t>
  </si>
  <si>
    <t>ME10</t>
  </si>
  <si>
    <t>ME11</t>
  </si>
  <si>
    <t>ME12</t>
  </si>
  <si>
    <t>MS01</t>
  </si>
  <si>
    <t>MS02</t>
  </si>
  <si>
    <t>MS03</t>
  </si>
  <si>
    <t>MS04</t>
  </si>
  <si>
    <t>MS05</t>
  </si>
  <si>
    <t>MS06</t>
  </si>
  <si>
    <t>MS07</t>
  </si>
  <si>
    <t>MS08</t>
  </si>
  <si>
    <t>MS09</t>
  </si>
  <si>
    <t>MS10</t>
  </si>
  <si>
    <t>MS11</t>
  </si>
  <si>
    <t>MS12</t>
  </si>
  <si>
    <t>MS13</t>
  </si>
  <si>
    <t>MS14</t>
  </si>
  <si>
    <t>MP1</t>
  </si>
  <si>
    <t>MP3</t>
  </si>
  <si>
    <t>MP4</t>
  </si>
  <si>
    <t>MP5</t>
  </si>
  <si>
    <t>MT01</t>
  </si>
  <si>
    <t>MT02</t>
  </si>
  <si>
    <t>MU01</t>
  </si>
  <si>
    <t>MU02</t>
  </si>
  <si>
    <t>MU03</t>
  </si>
  <si>
    <t>MM01</t>
  </si>
  <si>
    <t>MM02</t>
  </si>
  <si>
    <t>MM03</t>
  </si>
  <si>
    <t>MB01</t>
  </si>
  <si>
    <t>MB02</t>
  </si>
  <si>
    <t>MB03</t>
  </si>
  <si>
    <t>MB04</t>
  </si>
  <si>
    <t>MD01</t>
  </si>
  <si>
    <t>MD02</t>
  </si>
  <si>
    <t>MD03</t>
  </si>
  <si>
    <t>MD04</t>
  </si>
  <si>
    <t>MD05</t>
  </si>
  <si>
    <t>MD06</t>
  </si>
  <si>
    <t>EDI</t>
  </si>
  <si>
    <t>App</t>
  </si>
  <si>
    <t>Total Tasks: 53
Tasks Completed Count:
Tasks Completed: 
In-Progress Tasks: </t>
  </si>
  <si>
    <t>Shutdown Source</t>
  </si>
  <si>
    <t>ME01</t>
  </si>
  <si>
    <t>IT</t>
  </si>
  <si>
    <t>MI01</t>
  </si>
  <si>
    <t>MI02</t>
  </si>
  <si>
    <t>Total Tasks: 47
Tasks Completed Count:
Tasks Completed: 
In-Progress Tasks: </t>
  </si>
  <si>
    <t>FOS</t>
  </si>
  <si>
    <t>Total Tasks: 10
Tasks Completed Count:
Tasks Completed: 
In-Progress Tasks: </t>
  </si>
  <si>
    <t>MT03</t>
  </si>
  <si>
    <t>MT04</t>
  </si>
  <si>
    <t>MT05</t>
  </si>
  <si>
    <t>Total Tasks: 14
Tasks Completed Count:
Tasks Completed: 
In-Progress Tasks: </t>
  </si>
  <si>
    <t>WIP</t>
  </si>
  <si>
    <t>N/A</t>
  </si>
  <si>
    <t>Note</t>
  </si>
  <si>
    <t>Comp</t>
  </si>
  <si>
    <t>Citrix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</si>
</sst>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12" x14ac:knownFonts="1">
    <font>
      <sz val="11"/>
      <color theme="1"/>
      <name val="Calibri"/>
      <family val="2"/>
      <scheme val="minor"/>
    </font>
    <font>
      <b/>
      <sz val="11"/>
      <color theme="1"/>
      <name val="Calibri"/>
      <family val="2"/>
      <scheme val="minor"/>
    </font>
    <font>
      <sz val="11"/>
      <color rgb="FFC00000"/>
      <name val="Calibri"/>
      <family val="2"/>
      <scheme val="minor"/>
    </font>
    <font>
      <b/>
      <sz val="11"/>
      <color theme="0"/>
      <name val="Calibri"/>
      <family val="2"/>
      <scheme val="minor"/>
    </font>
    <font>
      <sz val="11"/>
      <color rgb="FF000000"/>
      <name val="Calibri"/>
      <family val="2"/>
      <scheme val="minor"/>
    </font>
    <font>
      <b/>
      <sz val="11"/>
      <color rgb="FF000000"/>
      <name val="Calibri"/>
      <family val="2"/>
      <scheme val="minor"/>
    </font>
    <font>
      <b/>
      <sz val="11"/>
      <color rgb="FF00B050"/>
      <name val="Calibri"/>
      <family val="2"/>
      <scheme val="minor"/>
    </font>
    <font>
      <sz val="8"/>
      <name val="Calibri"/>
      <family val="2"/>
      <scheme val="minor"/>
    </font>
    <font>
      <sz val="11"/>
      <color theme="0"/>
      <name val="Calibri"/>
      <family val="2"/>
      <scheme val="minor"/>
    </font>
    <font>
      <sz val="8"/>
      <color theme="1"/>
      <name val="Calibri"/>
      <family val="2"/>
      <scheme val="minor"/>
    </font>
    <font>
      <sz val="9"/>
      <color theme="1"/>
      <name val="Calibri"/>
      <family val="2"/>
      <scheme val="minor"/>
    </font>
    <font>
      <b/>
      <sz val="11"/>
      <name val="Calibri"/>
      <family val="2"/>
      <scheme val="minor"/>
    </font>
  </fonts>
  <fills count="14">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theme="2"/>
        <bgColor indexed="64"/>
      </patternFill>
    </fill>
    <fill>
      <patternFill patternType="solid">
        <fgColor rgb="FFFFC000"/>
        <bgColor indexed="64"/>
      </patternFill>
    </fill>
    <fill>
      <patternFill patternType="solid">
        <fgColor theme="4"/>
        <bgColor indexed="64"/>
      </patternFill>
    </fill>
    <fill>
      <patternFill patternType="solid">
        <fgColor theme="5"/>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rgb="FF00B050"/>
        <bgColor indexed="64"/>
      </patternFill>
    </fill>
    <fill>
      <patternFill patternType="solid">
        <fgColor theme="0"/>
        <bgColor theme="4" tint="0.79998168889431442"/>
      </patternFill>
    </fill>
    <fill>
      <patternFill patternType="solid">
        <fgColor theme="0"/>
        <bgColor indexed="64"/>
      </patternFill>
    </fill>
    <fill>
      <patternFill patternType="solid">
        <fgColor theme="1" tint="0.49998474074526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9"/>
      </left>
      <right/>
      <top/>
      <bottom/>
      <diagonal/>
    </border>
    <border>
      <left style="medium">
        <color indexed="64"/>
      </left>
      <right/>
      <top style="medium">
        <color indexed="64"/>
      </top>
      <bottom/>
      <diagonal/>
    </border>
    <border>
      <left style="double">
        <color theme="1"/>
      </left>
      <right/>
      <top style="medium">
        <color indexed="64"/>
      </top>
      <bottom/>
      <diagonal/>
    </border>
    <border>
      <left/>
      <right/>
      <top style="medium">
        <color indexed="64"/>
      </top>
      <bottom/>
      <diagonal/>
    </border>
    <border>
      <left/>
      <right style="thin">
        <color theme="9"/>
      </right>
      <top style="medium">
        <color indexed="64"/>
      </top>
      <bottom/>
      <diagonal/>
    </border>
    <border>
      <left style="double">
        <color theme="1"/>
      </left>
      <right style="thin">
        <color theme="9"/>
      </right>
      <top style="medium">
        <color indexed="64"/>
      </top>
      <bottom/>
      <diagonal/>
    </border>
    <border>
      <left style="thin">
        <color theme="9"/>
      </left>
      <right style="thin">
        <color theme="9"/>
      </right>
      <top style="medium">
        <color indexed="64"/>
      </top>
      <bottom/>
      <diagonal/>
    </border>
    <border>
      <left style="thin">
        <color theme="9"/>
      </left>
      <right/>
      <top style="medium">
        <color indexed="64"/>
      </top>
      <bottom/>
      <diagonal/>
    </border>
    <border>
      <left style="thin">
        <color theme="9"/>
      </left>
      <right style="double">
        <color theme="1"/>
      </right>
      <top style="medium">
        <color indexed="64"/>
      </top>
      <bottom/>
      <diagonal/>
    </border>
    <border>
      <left style="double">
        <color theme="1"/>
      </left>
      <right/>
      <top style="medium">
        <color indexed="64"/>
      </top>
      <bottom style="thin">
        <color indexed="64"/>
      </bottom>
      <diagonal/>
    </border>
    <border>
      <left/>
      <right/>
      <top style="medium">
        <color indexed="64"/>
      </top>
      <bottom style="thin">
        <color indexed="64"/>
      </bottom>
      <diagonal/>
    </border>
    <border>
      <left/>
      <right style="double">
        <color theme="1"/>
      </right>
      <top style="medium">
        <color indexed="64"/>
      </top>
      <bottom style="thin">
        <color indexed="64"/>
      </bottom>
      <diagonal/>
    </border>
    <border>
      <left/>
      <right style="double">
        <color theme="1"/>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s>
  <cellStyleXfs count="1">
    <xf numFmtId="0" fontId="0" fillId="0" borderId="0"/>
  </cellStyleXfs>
  <cellXfs count="118">
    <xf numFmtId="0" fontId="0" fillId="0" borderId="0" xfId="0"/>
    <xf numFmtId="0" fontId="0" fillId="0" borderId="2" xfId="0" applyBorder="1"/>
    <xf numFmtId="0" fontId="0" fillId="0" borderId="3" xfId="0" applyBorder="1"/>
    <xf numFmtId="0" fontId="0" fillId="0" borderId="4" xfId="0" applyBorder="1"/>
    <xf numFmtId="0" fontId="0" fillId="0" borderId="1" xfId="0" applyBorder="1" applyAlignment="1">
      <alignment vertical="center" wrapText="1"/>
    </xf>
    <xf numFmtId="0" fontId="0" fillId="0" borderId="6" xfId="0" applyBorder="1" applyAlignment="1">
      <alignment vertical="center" wrapText="1"/>
    </xf>
    <xf numFmtId="0" fontId="1" fillId="0" borderId="5" xfId="0" applyFont="1" applyBorder="1" applyAlignment="1">
      <alignment vertical="center" wrapText="1"/>
    </xf>
    <xf numFmtId="22" fontId="0" fillId="0" borderId="1" xfId="0" applyNumberFormat="1" applyBorder="1" applyAlignment="1">
      <alignment vertical="center" wrapText="1"/>
    </xf>
    <xf numFmtId="0" fontId="0" fillId="0" borderId="3" xfId="0" applyBorder="1" applyAlignment="1">
      <alignment horizontal="center"/>
    </xf>
    <xf numFmtId="0" fontId="1" fillId="0" borderId="1" xfId="0" applyFont="1" applyBorder="1" applyAlignment="1">
      <alignment horizontal="center" vertical="center" wrapText="1"/>
    </xf>
    <xf numFmtId="0" fontId="0" fillId="0" borderId="0" xfId="0" applyAlignment="1">
      <alignment horizontal="center"/>
    </xf>
    <xf numFmtId="0" fontId="0" fillId="0" borderId="7" xfId="0" applyBorder="1"/>
    <xf numFmtId="0" fontId="0" fillId="0" borderId="7" xfId="0" applyBorder="1" applyAlignment="1">
      <alignment horizontal="center"/>
    </xf>
    <xf numFmtId="0" fontId="1" fillId="0" borderId="7" xfId="0" applyFont="1" applyBorder="1" applyAlignment="1">
      <alignment vertical="center" wrapText="1"/>
    </xf>
    <xf numFmtId="0" fontId="0" fillId="0" borderId="7" xfId="0" applyBorder="1" applyAlignment="1">
      <alignment vertical="center" wrapText="1"/>
    </xf>
    <xf numFmtId="22" fontId="0" fillId="0" borderId="7" xfId="0" applyNumberFormat="1" applyBorder="1" applyAlignment="1">
      <alignment vertical="center" wrapText="1"/>
    </xf>
    <xf numFmtId="0" fontId="1" fillId="0" borderId="7" xfId="0" applyFont="1" applyBorder="1" applyAlignment="1">
      <alignment horizontal="center" vertical="center" wrapText="1"/>
    </xf>
    <xf numFmtId="164" fontId="0" fillId="0" borderId="7" xfId="0" applyNumberFormat="1" applyBorder="1" applyAlignment="1">
      <alignment horizontal="right" vertical="center" wrapText="1"/>
    </xf>
    <xf numFmtId="0" fontId="3" fillId="2" borderId="8" xfId="0" applyFont="1" applyFill="1" applyBorder="1" applyAlignment="1">
      <alignment horizontal="center" vertical="center" wrapText="1"/>
    </xf>
    <xf numFmtId="0" fontId="0" fillId="0" borderId="9" xfId="0" applyBorder="1" applyAlignment="1">
      <alignment vertical="center" wrapText="1"/>
    </xf>
    <xf numFmtId="164" fontId="0" fillId="0" borderId="9" xfId="0" applyNumberFormat="1" applyBorder="1" applyAlignment="1">
      <alignment horizontal="right" vertical="center" wrapText="1"/>
    </xf>
    <xf numFmtId="0" fontId="1" fillId="0"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1" fillId="0" borderId="11" xfId="0" applyFont="1" applyBorder="1" applyAlignment="1">
      <alignment vertical="center" wrapText="1"/>
    </xf>
    <xf numFmtId="0" fontId="0" fillId="0" borderId="12" xfId="0" applyBorder="1" applyAlignment="1">
      <alignment vertical="center" wrapText="1"/>
    </xf>
    <xf numFmtId="0" fontId="3" fillId="2" borderId="13" xfId="0" applyFont="1" applyFill="1" applyBorder="1" applyAlignment="1">
      <alignment horizontal="center" vertical="center" wrapText="1"/>
    </xf>
    <xf numFmtId="0" fontId="4" fillId="0" borderId="14" xfId="0" applyFont="1" applyBorder="1" applyAlignment="1">
      <alignment vertical="top" wrapText="1"/>
    </xf>
    <xf numFmtId="0" fontId="0" fillId="0" borderId="15" xfId="0" applyBorder="1" applyAlignment="1">
      <alignment vertical="top" wrapText="1"/>
    </xf>
    <xf numFmtId="0" fontId="0" fillId="0" borderId="2" xfId="0" applyBorder="1" applyAlignment="1">
      <alignment vertical="center"/>
    </xf>
    <xf numFmtId="0" fontId="0" fillId="0" borderId="3" xfId="0" applyBorder="1" applyAlignment="1">
      <alignment vertical="center"/>
    </xf>
    <xf numFmtId="0" fontId="0" fillId="0" borderId="5" xfId="0" applyBorder="1" applyAlignment="1">
      <alignment vertical="center"/>
    </xf>
    <xf numFmtId="0" fontId="0" fillId="0" borderId="1" xfId="0" applyBorder="1" applyAlignment="1">
      <alignment vertical="center"/>
    </xf>
    <xf numFmtId="0" fontId="0" fillId="0" borderId="4" xfId="0" applyBorder="1" applyAlignment="1">
      <alignment vertical="center" wrapText="1"/>
    </xf>
    <xf numFmtId="0" fontId="0" fillId="0" borderId="0" xfId="0" applyAlignment="1">
      <alignment wrapText="1"/>
    </xf>
    <xf numFmtId="0" fontId="0" fillId="0" borderId="6" xfId="0" applyBorder="1" applyAlignment="1">
      <alignment vertical="top" wrapText="1"/>
    </xf>
    <xf numFmtId="164" fontId="0" fillId="0" borderId="1" xfId="0" applyNumberFormat="1" applyBorder="1" applyAlignment="1">
      <alignment horizontal="right" vertical="center" wrapText="1"/>
    </xf>
    <xf numFmtId="0" fontId="0" fillId="0" borderId="16" xfId="0" applyBorder="1" applyAlignment="1">
      <alignment vertical="center"/>
    </xf>
    <xf numFmtId="0" fontId="0" fillId="0" borderId="17" xfId="0" applyBorder="1" applyAlignment="1">
      <alignment vertical="center"/>
    </xf>
    <xf numFmtId="0" fontId="0" fillId="0" borderId="17" xfId="0" applyBorder="1" applyAlignment="1">
      <alignment vertical="center" wrapText="1"/>
    </xf>
    <xf numFmtId="164" fontId="0" fillId="0" borderId="17" xfId="0" applyNumberFormat="1" applyBorder="1" applyAlignment="1">
      <alignment horizontal="right" vertical="center" wrapText="1"/>
    </xf>
    <xf numFmtId="0" fontId="0" fillId="0" borderId="18" xfId="0" applyBorder="1" applyAlignment="1">
      <alignment vertical="top" wrapText="1"/>
    </xf>
    <xf numFmtId="0" fontId="1" fillId="0" borderId="1" xfId="0" applyFont="1" applyBorder="1" applyAlignment="1">
      <alignment horizontal="center" vertical="center"/>
    </xf>
    <xf numFmtId="0" fontId="1" fillId="3" borderId="1" xfId="0" applyFont="1" applyFill="1" applyBorder="1" applyAlignment="1">
      <alignment horizontal="center" vertical="center"/>
    </xf>
    <xf numFmtId="0" fontId="0" fillId="0" borderId="0" xfId="0" applyBorder="1"/>
    <xf numFmtId="0" fontId="0" fillId="0" borderId="0" xfId="0" applyAlignment="1"/>
    <xf numFmtId="0" fontId="0" fillId="0" borderId="19" xfId="0" applyBorder="1" applyAlignment="1"/>
    <xf numFmtId="0" fontId="3" fillId="2" borderId="1" xfId="0" applyFont="1" applyFill="1" applyBorder="1" applyAlignment="1">
      <alignment vertical="center"/>
    </xf>
    <xf numFmtId="0" fontId="3" fillId="2" borderId="1" xfId="0" applyFont="1" applyFill="1" applyBorder="1" applyAlignment="1">
      <alignment vertical="center" wrapText="1"/>
    </xf>
    <xf numFmtId="0" fontId="0" fillId="9" borderId="1" xfId="0" applyFont="1" applyFill="1" applyBorder="1" applyAlignment="1">
      <alignment vertical="center"/>
    </xf>
    <xf numFmtId="0" fontId="0" fillId="9" borderId="7" xfId="0" applyFont="1" applyFill="1" applyBorder="1" applyAlignment="1">
      <alignment vertical="center" wrapText="1"/>
    </xf>
    <xf numFmtId="164" fontId="0" fillId="9" borderId="7" xfId="0" applyNumberFormat="1" applyFont="1" applyFill="1" applyBorder="1" applyAlignment="1">
      <alignment horizontal="right" vertical="center" wrapText="1"/>
    </xf>
    <xf numFmtId="0" fontId="1" fillId="9" borderId="1" xfId="0" applyFont="1" applyFill="1" applyBorder="1" applyAlignment="1">
      <alignment horizontal="center" vertical="center"/>
    </xf>
    <xf numFmtId="0" fontId="0" fillId="9" borderId="1" xfId="0" applyFont="1" applyFill="1" applyBorder="1" applyAlignment="1">
      <alignment vertical="center" wrapText="1"/>
    </xf>
    <xf numFmtId="0" fontId="0" fillId="0" borderId="1" xfId="0" applyFont="1" applyBorder="1" applyAlignment="1">
      <alignment vertical="center"/>
    </xf>
    <xf numFmtId="0" fontId="0" fillId="0" borderId="7" xfId="0" applyFont="1" applyBorder="1" applyAlignment="1">
      <alignment vertical="center" wrapText="1"/>
    </xf>
    <xf numFmtId="164" fontId="0" fillId="0" borderId="7" xfId="0" applyNumberFormat="1" applyFont="1" applyBorder="1" applyAlignment="1">
      <alignment horizontal="right" vertical="center" wrapText="1"/>
    </xf>
    <xf numFmtId="0" fontId="0" fillId="0" borderId="1" xfId="0" applyFont="1" applyBorder="1" applyAlignment="1">
      <alignment vertical="center" wrapText="1"/>
    </xf>
    <xf numFmtId="0" fontId="0" fillId="9" borderId="1" xfId="0" applyFill="1" applyBorder="1" applyAlignment="1">
      <alignment vertical="center"/>
    </xf>
    <xf numFmtId="0" fontId="0" fillId="9" borderId="1" xfId="0" applyFill="1" applyBorder="1" applyAlignment="1">
      <alignment vertical="top" wrapText="1"/>
    </xf>
    <xf numFmtId="0" fontId="0" fillId="0" borderId="1" xfId="0" applyBorder="1" applyAlignment="1">
      <alignment vertical="top" wrapText="1"/>
    </xf>
    <xf numFmtId="0" fontId="0" fillId="11" borderId="1" xfId="0" applyFill="1" applyBorder="1" applyAlignment="1">
      <alignment vertical="center" wrapText="1"/>
    </xf>
    <xf numFmtId="0" fontId="0" fillId="11" borderId="1" xfId="0" applyFill="1" applyBorder="1" applyAlignment="1">
      <alignment vertical="center"/>
    </xf>
    <xf numFmtId="0" fontId="0" fillId="11" borderId="7" xfId="0" applyFill="1" applyBorder="1" applyAlignment="1">
      <alignment vertical="center" wrapText="1"/>
    </xf>
    <xf numFmtId="164" fontId="0" fillId="11" borderId="7" xfId="0" applyNumberFormat="1" applyFill="1" applyBorder="1" applyAlignment="1">
      <alignment horizontal="right" vertical="center" wrapText="1"/>
    </xf>
    <xf numFmtId="0" fontId="1" fillId="11" borderId="1" xfId="0" applyFont="1" applyFill="1" applyBorder="1" applyAlignment="1">
      <alignment horizontal="center" vertical="center"/>
    </xf>
    <xf numFmtId="0" fontId="0" fillId="11" borderId="1" xfId="0" applyFill="1" applyBorder="1" applyAlignment="1">
      <alignment vertical="top" wrapText="1"/>
    </xf>
    <xf numFmtId="0" fontId="10" fillId="0" borderId="1" xfId="0" applyFont="1" applyBorder="1"/>
    <xf numFmtId="0" fontId="3" fillId="2" borderId="2" xfId="0" applyFont="1" applyFill="1" applyBorder="1" applyAlignment="1">
      <alignment vertical="center"/>
    </xf>
    <xf numFmtId="0" fontId="3" fillId="2" borderId="3" xfId="0" applyFont="1" applyFill="1" applyBorder="1" applyAlignment="1">
      <alignment vertical="center"/>
    </xf>
    <xf numFmtId="0" fontId="3" fillId="2" borderId="4" xfId="0" applyFont="1" applyFill="1" applyBorder="1" applyAlignment="1">
      <alignment vertical="center" wrapText="1"/>
    </xf>
    <xf numFmtId="0" fontId="0" fillId="0" borderId="17" xfId="0" applyFont="1" applyBorder="1" applyAlignment="1">
      <alignment vertical="center"/>
    </xf>
    <xf numFmtId="0" fontId="0" fillId="0" borderId="9" xfId="0" applyFont="1" applyBorder="1" applyAlignment="1">
      <alignment vertical="center" wrapText="1"/>
    </xf>
    <xf numFmtId="164" fontId="0" fillId="0" borderId="9" xfId="0" applyNumberFormat="1" applyFont="1" applyBorder="1" applyAlignment="1">
      <alignment horizontal="right" vertical="center" wrapText="1"/>
    </xf>
    <xf numFmtId="0" fontId="1" fillId="0" borderId="17" xfId="0" applyFont="1" applyBorder="1" applyAlignment="1">
      <alignment horizontal="center" vertical="center"/>
    </xf>
    <xf numFmtId="0" fontId="0" fillId="0" borderId="17" xfId="0" applyFont="1" applyBorder="1" applyAlignment="1">
      <alignment vertical="center" wrapText="1"/>
    </xf>
    <xf numFmtId="0" fontId="10" fillId="12" borderId="1" xfId="0" applyFont="1" applyFill="1" applyBorder="1"/>
    <xf numFmtId="0" fontId="0" fillId="0" borderId="0" xfId="0" applyAlignment="1">
      <alignment horizontal="left" vertical="center"/>
    </xf>
    <xf numFmtId="0" fontId="10" fillId="13" borderId="1" xfId="0" applyFont="1" applyFill="1" applyBorder="1"/>
    <xf numFmtId="0" fontId="8" fillId="6" borderId="20" xfId="0" applyFont="1" applyFill="1" applyBorder="1"/>
    <xf numFmtId="0" fontId="0" fillId="0" borderId="33" xfId="0" applyBorder="1"/>
    <xf numFmtId="0" fontId="0" fillId="0" borderId="35" xfId="0" applyBorder="1"/>
    <xf numFmtId="0" fontId="10" fillId="13" borderId="34" xfId="0" applyFont="1" applyFill="1" applyBorder="1"/>
    <xf numFmtId="0" fontId="0" fillId="0" borderId="36" xfId="0" applyBorder="1"/>
    <xf numFmtId="0" fontId="10" fillId="12" borderId="37" xfId="0" applyFont="1" applyFill="1" applyBorder="1"/>
    <xf numFmtId="0" fontId="9" fillId="12" borderId="37" xfId="0" applyFont="1" applyFill="1" applyBorder="1"/>
    <xf numFmtId="0" fontId="9" fillId="12" borderId="38" xfId="0" applyFont="1" applyFill="1" applyBorder="1"/>
    <xf numFmtId="0" fontId="9" fillId="12" borderId="39" xfId="0" applyFont="1" applyFill="1" applyBorder="1"/>
    <xf numFmtId="0" fontId="9" fillId="12" borderId="40" xfId="0" applyFont="1" applyFill="1" applyBorder="1"/>
    <xf numFmtId="0" fontId="10" fillId="0" borderId="3" xfId="0" applyFont="1" applyBorder="1"/>
    <xf numFmtId="0" fontId="10" fillId="5" borderId="3" xfId="0" applyFont="1" applyFill="1" applyBorder="1"/>
    <xf numFmtId="0" fontId="10" fillId="13" borderId="3" xfId="0" applyFont="1" applyFill="1" applyBorder="1"/>
    <xf numFmtId="0" fontId="10" fillId="0" borderId="41" xfId="0" applyFont="1" applyBorder="1"/>
    <xf numFmtId="0" fontId="0" fillId="0" borderId="42" xfId="0" applyBorder="1"/>
    <xf numFmtId="0" fontId="10" fillId="13" borderId="37" xfId="0" applyFont="1" applyFill="1" applyBorder="1"/>
    <xf numFmtId="0" fontId="10" fillId="0" borderId="37" xfId="0" applyFont="1" applyBorder="1"/>
    <xf numFmtId="0" fontId="10" fillId="5" borderId="37" xfId="0" applyFont="1" applyFill="1" applyBorder="1"/>
    <xf numFmtId="0" fontId="10" fillId="12" borderId="40" xfId="0" applyFont="1" applyFill="1" applyBorder="1"/>
    <xf numFmtId="0" fontId="0" fillId="10" borderId="0" xfId="0" applyFill="1"/>
    <xf numFmtId="0" fontId="0" fillId="3" borderId="0" xfId="0" applyFill="1"/>
    <xf numFmtId="0" fontId="0" fillId="5" borderId="0" xfId="0" applyFill="1"/>
    <xf numFmtId="0" fontId="10" fillId="10" borderId="37" xfId="0" applyFont="1" applyFill="1" applyBorder="1"/>
    <xf numFmtId="0" fontId="0" fillId="4" borderId="21" xfId="0" applyFont="1" applyFill="1" applyBorder="1" applyAlignment="1">
      <alignment horizontal="center"/>
    </xf>
    <xf numFmtId="0" fontId="0" fillId="4" borderId="22" xfId="0" applyFont="1" applyFill="1" applyBorder="1" applyAlignment="1">
      <alignment horizontal="center"/>
    </xf>
    <xf numFmtId="0" fontId="0" fillId="4" borderId="31" xfId="0" applyFont="1" applyFill="1" applyBorder="1" applyAlignment="1">
      <alignment horizontal="center"/>
    </xf>
    <xf numFmtId="0" fontId="3" fillId="7" borderId="21" xfId="0" applyFont="1" applyFill="1" applyBorder="1" applyAlignment="1">
      <alignment horizontal="center"/>
    </xf>
    <xf numFmtId="0" fontId="3" fillId="7" borderId="22" xfId="0" applyFont="1" applyFill="1" applyBorder="1" applyAlignment="1">
      <alignment horizontal="center"/>
    </xf>
    <xf numFmtId="0" fontId="3" fillId="7" borderId="32" xfId="0" applyFont="1" applyFill="1" applyBorder="1" applyAlignment="1">
      <alignment horizontal="center"/>
    </xf>
    <xf numFmtId="0" fontId="11" fillId="8" borderId="24" xfId="0" applyFont="1" applyFill="1" applyBorder="1" applyAlignment="1">
      <alignment horizontal="center"/>
    </xf>
    <xf numFmtId="0" fontId="11" fillId="8" borderId="25" xfId="0" applyFont="1" applyFill="1" applyBorder="1" applyAlignment="1">
      <alignment horizontal="center"/>
    </xf>
    <xf numFmtId="0" fontId="11" fillId="8" borderId="26" xfId="0" applyFont="1" applyFill="1" applyBorder="1" applyAlignment="1">
      <alignment horizontal="center"/>
    </xf>
    <xf numFmtId="0" fontId="11" fillId="8" borderId="27" xfId="0" applyFont="1" applyFill="1" applyBorder="1" applyAlignment="1">
      <alignment horizontal="center"/>
    </xf>
    <xf numFmtId="0" fontId="11" fillId="8" borderId="21" xfId="0" applyFont="1" applyFill="1" applyBorder="1" applyAlignment="1">
      <alignment horizontal="center"/>
    </xf>
    <xf numFmtId="0" fontId="11" fillId="8" borderId="22" xfId="0" applyFont="1" applyFill="1" applyBorder="1" applyAlignment="1">
      <alignment horizontal="center"/>
    </xf>
    <xf numFmtId="0" fontId="3" fillId="7" borderId="23" xfId="0" applyFont="1" applyFill="1" applyBorder="1" applyAlignment="1">
      <alignment horizontal="center"/>
    </xf>
    <xf numFmtId="0" fontId="3" fillId="7" borderId="31" xfId="0" applyFont="1" applyFill="1" applyBorder="1" applyAlignment="1">
      <alignment horizontal="center"/>
    </xf>
    <xf numFmtId="0" fontId="3" fillId="7" borderId="28" xfId="0" applyFont="1" applyFill="1" applyBorder="1" applyAlignment="1">
      <alignment horizontal="center"/>
    </xf>
    <xf numFmtId="0" fontId="3" fillId="7" borderId="29" xfId="0" applyFont="1" applyFill="1" applyBorder="1" applyAlignment="1">
      <alignment horizontal="center"/>
    </xf>
    <xf numFmtId="0" fontId="3" fillId="7" borderId="30" xfId="0" applyFont="1" applyFill="1" applyBorder="1" applyAlignment="1">
      <alignment horizontal="center"/>
    </xf>
  </cellXfs>
  <cellStyles count="1">
    <cellStyle name="Normal" xfId="0" builtinId="0"/>
  </cellStyles>
  <dxfs count="145">
    <dxf>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409]m/d/yy\ h:mm\ AM/PM;@"/>
      <alignment horizontal="righ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alignment horizontal="general" vertical="top" textRotation="0" wrapText="1" indent="0" justifyLastLine="0" shrinkToFit="0" readingOrder="0"/>
      <border diagonalUp="0" diagonalDown="0" outline="0">
        <left style="thin">
          <color indexed="64"/>
        </left>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vertical="center" textRotation="0" indent="0" justifyLastLine="0" shrinkToFit="0" readingOrder="0"/>
    </dxf>
    <dxf>
      <border>
        <bottom style="thin">
          <color indexed="64"/>
        </bottom>
      </border>
    </dxf>
    <dxf>
      <alignment vertical="center" textRotation="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alignment vertical="center" textRotation="0" wrapText="1" indent="0" justifyLastLine="0" shrinkToFit="0" readingOrder="0"/>
      <border diagonalUp="0" diagonalDown="0">
        <left style="thin">
          <color rgb="FF000000"/>
        </left>
        <right/>
        <top style="thin">
          <color rgb="FF000000"/>
        </top>
        <bottom style="thin">
          <color rgb="FF000000"/>
        </bottom>
        <vertical style="thin">
          <color rgb="FF000000"/>
        </vertical>
        <horizontal style="thin">
          <color rgb="FF000000"/>
        </horizontal>
      </border>
    </dxf>
    <dxf>
      <alignmen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textRotation="0" wrapText="1" indent="0" justifyLastLine="0" shrinkToFit="0" readingOrder="0"/>
      <border diagonalUp="0" diagonalDown="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alignment vertical="center" textRotation="0" wrapText="1" indent="0" justifyLastLine="0" shrinkToFit="0" readingOrder="0"/>
    </dxf>
    <dxf>
      <border>
        <bottom style="thin">
          <color rgb="FF00000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1" indent="0" justifyLastLine="0" shrinkToFit="0" readingOrder="0"/>
      <border diagonalUp="0" diagonalDown="0">
        <left style="thin">
          <color rgb="FF000000"/>
        </left>
        <right style="thin">
          <color rgb="FF000000"/>
        </right>
        <top/>
        <bottom/>
        <vertical style="thin">
          <color rgb="FF000000"/>
        </vertical>
        <horizontal style="thin">
          <color rgb="FF000000"/>
        </horizontal>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color rgb="FF9C5700"/>
      </font>
      <fill>
        <patternFill>
          <bgColor rgb="FFFFEB9C"/>
        </patternFill>
      </fill>
    </dxf>
    <dxf>
      <font>
        <color rgb="FF006100"/>
      </font>
      <fill>
        <patternFill>
          <bgColor rgb="FFC6EFCE"/>
        </patternFill>
      </fill>
    </dxf>
    <dxf>
      <font>
        <color rgb="FF006100"/>
      </font>
      <fill>
        <patternFill>
          <bgColor rgb="FFC6EFCE"/>
        </patternFill>
      </fill>
    </dxf>
    <dxf>
      <alignment horizontal="general" vertical="center" textRotation="0" wrapText="1" indent="0" justifyLastLine="0" shrinkToFit="0" readingOrder="0"/>
      <border diagonalUp="0" diagonalDown="0">
        <left style="thin">
          <color rgb="FF000000"/>
        </left>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font>
      <alignment horizontal="general"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alignment horizontal="general" vertical="center" textRotation="0" wrapText="1" indent="0" justifyLastLine="0" shrinkToFit="0" readingOrder="0"/>
    </dxf>
    <dxf>
      <border>
        <bottom style="thin">
          <color rgb="FF000000"/>
        </bottom>
      </border>
    </dxf>
    <dxf>
      <border diagonalUp="0" diagonalDown="0">
        <left style="thin">
          <color rgb="FF000000"/>
        </left>
        <right style="thin">
          <color rgb="FF000000"/>
        </right>
        <top/>
        <bottom/>
        <vertical style="thin">
          <color rgb="FF000000"/>
        </vertical>
        <horizontal style="thin">
          <color rgb="FF000000"/>
        </horizontal>
      </border>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63DF29-99D6-42F3-9CE0-A4D3E04F5798}" name="Table1" displayName="Table1" ref="A1:G9" totalsRowShown="0" headerRowDxfId="140" dataDxfId="138" headerRowBorderDxfId="139" tableBorderDxfId="137" totalsRowBorderDxfId="136">
  <autoFilter ref="A1:G9" xr:uid="{461F95BF-C7CF-4872-90C5-E80E3D58F9CC}"/>
  <tableColumns count="7">
    <tableColumn id="1" xr3:uid="{1ED52995-98B8-4E15-AA94-D9166FAC84ED}" name="Migration event" dataDxfId="135"/>
    <tableColumn id="2" xr3:uid="{EFEF29C5-6314-453F-AF4F-E14A7A51B1AF}" name="Environment" dataDxfId="134"/>
    <tableColumn id="3" xr3:uid="{E208B653-07E9-4D83-B602-C3B28CA00E1E}" name="Window Start - End (EST)" dataDxfId="133"/>
    <tableColumn id="4" xr3:uid="{293ACA18-DE08-4281-9371-11BDFD5C307F}" name="Rollback/Go" dataDxfId="132"/>
    <tableColumn id="5" xr3:uid="{7AE843B3-506D-4917-9768-D7E5CABFE771}" name="Status " dataDxfId="131"/>
    <tableColumn id="6" xr3:uid="{78A4ABE7-C686-42A9-AAF9-9ED6C1CC721A}" name="Playbook Task Status" dataDxfId="130"/>
    <tableColumn id="8" xr3:uid="{D53EBEB8-FBC2-4A1A-869F-A8343333D4AF}" name="Comments"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5F77B9-3274-45AC-956B-3F4C81231CCE}" name="Table13" displayName="Table13" ref="A1:G10" totalsRowShown="0" headerRowDxfId="125" dataDxfId="123" headerRowBorderDxfId="124" tableBorderDxfId="122" totalsRowBorderDxfId="121">
  <autoFilter ref="A1:G10" xr:uid="{4FDCCF11-92FE-4944-A33B-27E0E08C58D2}"/>
  <tableColumns count="7">
    <tableColumn id="1" xr3:uid="{3E4D3BA2-C0DA-4CF5-B9D4-4BC89928ABD9}" name="Migration event" dataDxfId="120"/>
    <tableColumn id="2" xr3:uid="{C32114DC-AA8A-4F84-9DC2-9F721DFFD138}" name="Environment" dataDxfId="119"/>
    <tableColumn id="3" xr3:uid="{47E20AB4-499C-4FF2-A624-F608FBFE21AC}" name="Window Start - End (EST)" dataDxfId="118"/>
    <tableColumn id="4" xr3:uid="{A82F0E71-9005-4CDF-82CB-E66FAC2DF5CE}" name="Rollback/Go" dataDxfId="117"/>
    <tableColumn id="5" xr3:uid="{A3B010CB-686B-4C29-BF14-2346EC5394AD}" name="Status " dataDxfId="116"/>
    <tableColumn id="6" xr3:uid="{8AEDD170-D761-4AB7-AA50-BCE212435291}" name="Playbook Task Status" dataDxfId="115"/>
    <tableColumn id="8" xr3:uid="{0F71F017-D1EB-4BE8-9138-1F0C6C2F608E}" name="Comments" dataDxfId="1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4ECAFEE-5E0A-4D1B-92D1-997F8E0224E0}" name="Table3" displayName="Table3" ref="A1:G3" totalsRowShown="0" headerRowDxfId="109" dataDxfId="107" headerRowBorderDxfId="108" tableBorderDxfId="106" totalsRowBorderDxfId="105">
  <autoFilter ref="A1:G3" xr:uid="{E5217BA6-A655-4E3C-8FA5-1D11FC3F9F29}"/>
  <tableColumns count="7">
    <tableColumn id="1" xr3:uid="{16063CA8-6D70-45B3-866D-AA4711D60B5E}" name="Migration event" dataDxfId="104"/>
    <tableColumn id="2" xr3:uid="{28B738A8-D292-44F9-A973-C087B1F13A28}" name="Environment" dataDxfId="103"/>
    <tableColumn id="3" xr3:uid="{054F4FA9-708D-4947-A11F-F2754BF3C6E9}" name="Window Start - End (EST)" dataDxfId="102"/>
    <tableColumn id="4" xr3:uid="{57AA4168-82A1-4FCF-97B8-25293E386DA3}" name="Rollback/Go" dataDxfId="101"/>
    <tableColumn id="5" xr3:uid="{20CF823C-1CC2-4968-B377-D8CB1DE1BD88}" name="Status " dataDxfId="100"/>
    <tableColumn id="6" xr3:uid="{16100204-2AE1-4780-BBEB-AAA6AA64BFAE}" name="Playbook Task Status" dataDxfId="99"/>
    <tableColumn id="7" xr3:uid="{81F3C38C-D719-45F4-B8A5-0D7256527290}" name="Comments" dataDxfId="9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09CAC7-D3B3-466A-A204-298B9D771CE2}" name="Table0807" displayName="Table0807" ref="A1:G9" totalsRowShown="0" headerRowDxfId="80" dataDxfId="78" headerRowBorderDxfId="79" tableBorderDxfId="77" totalsRowBorderDxfId="76">
  <tableColumns count="7">
    <tableColumn id="1" xr3:uid="{58C0065D-BAB0-4280-8864-AA9272D882BD}" name="Migration event" dataDxfId="75"/>
    <tableColumn id="2" xr3:uid="{4A38AF4B-4D7B-4307-A24D-A39AFED87993}" name="Environment" dataDxfId="74"/>
    <tableColumn id="3" xr3:uid="{8AFA145A-5C6D-4B3E-8147-2C26206A6306}" name="Window Start - End (EST)" dataDxfId="73"/>
    <tableColumn id="4" xr3:uid="{392CB629-4150-4238-9B34-B634D757E13A}" name="Rollback/Go" dataDxfId="72"/>
    <tableColumn id="5" xr3:uid="{18817C8F-7C50-4AC6-A3EA-6C4C47FFF947}" name="Status " dataDxfId="71"/>
    <tableColumn id="6" xr3:uid="{8EF64A76-F6D6-4FFA-BD20-7FA78249E163}" name="Playbook Task Status" dataDxfId="70"/>
    <tableColumn id="7" xr3:uid="{25CC5F97-0650-46F9-A956-1A7B577DD8DC}" name="Comments" dataDxfId="6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FDB9AFB-52BD-4A3D-898E-38BE37DB2049}" name="Table6" displayName="Table6" ref="A1:G6" totalsRowShown="0" headerRowDxfId="9" headerRowBorderDxfId="8" tableBorderDxfId="7">
  <tableColumns count="7">
    <tableColumn id="1" xr3:uid="{DEA6B701-0835-429D-A61C-B5382BB24CD7}" name="Migration event" dataDxfId="6"/>
    <tableColumn id="2" xr3:uid="{8977A42C-C242-490B-88B3-DBA4001C2D38}" name="Env" dataDxfId="5"/>
    <tableColumn id="3" xr3:uid="{7C51AA6E-00F7-4E7A-B468-A1ECB012170E}" name="Window Start - End (EST)" dataDxfId="4"/>
    <tableColumn id="4" xr3:uid="{C258F382-6148-46AF-B399-128D0FC01674}" name="Rollback/Go" dataDxfId="3"/>
    <tableColumn id="5" xr3:uid="{0C102AE7-6D20-46E3-B336-D61B51C148D4}" name="Status " dataDxfId="2"/>
    <tableColumn id="6" xr3:uid="{ABFC7D4F-C640-4DBF-8AFF-7A2DF22961D6}" name="Playbook Task Status" dataDxfId="1"/>
    <tableColumn id="7" xr3:uid="{A7B15F84-225D-4F99-A55E-5D651DB95C80}" name="Comment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2EA0-1BA5-4CD9-8276-B5DA5FACAA3A}">
  <sheetPr codeName="Sheet1"/>
  <dimension ref="A1:G10"/>
  <sheetViews>
    <sheetView topLeftCell="A4" workbookViewId="0">
      <selection activeCell="G3" sqref="G3"/>
    </sheetView>
  </sheetViews>
  <sheetFormatPr defaultRowHeight="14.4" x14ac:dyDescent="0.3"/>
  <cols>
    <col min="1" max="1" width="35.33203125" customWidth="1"/>
    <col min="2" max="2" width="14.109375" bestFit="1" customWidth="1"/>
    <col min="3" max="3" width="26.109375" bestFit="1" customWidth="1"/>
    <col min="4" max="4" width="15.33203125" customWidth="1"/>
    <col min="5" max="5" width="54.88671875" style="10" customWidth="1"/>
    <col min="6" max="6" width="41.6640625" customWidth="1"/>
    <col min="7" max="7" width="62.33203125" customWidth="1"/>
    <col min="8" max="8" width="201.88671875" bestFit="1" customWidth="1"/>
  </cols>
  <sheetData>
    <row r="1" spans="1:7" x14ac:dyDescent="0.3">
      <c r="A1" s="11" t="s">
        <v>0</v>
      </c>
      <c r="B1" s="11" t="s">
        <v>1</v>
      </c>
      <c r="C1" s="11" t="s">
        <v>2</v>
      </c>
      <c r="D1" s="11" t="s">
        <v>3</v>
      </c>
      <c r="E1" s="12" t="s">
        <v>4</v>
      </c>
      <c r="F1" s="11" t="s">
        <v>5</v>
      </c>
      <c r="G1" s="11" t="s">
        <v>6</v>
      </c>
    </row>
    <row r="2" spans="1:7" ht="57.6" x14ac:dyDescent="0.3">
      <c r="A2" s="13" t="s">
        <v>7</v>
      </c>
      <c r="B2" s="14" t="s">
        <v>8</v>
      </c>
      <c r="C2" s="14" t="s">
        <v>9</v>
      </c>
      <c r="D2" s="15">
        <v>43636.75</v>
      </c>
      <c r="E2" s="16" t="s">
        <v>10</v>
      </c>
      <c r="F2" s="14" t="s">
        <v>11</v>
      </c>
      <c r="G2" s="14" t="s">
        <v>12</v>
      </c>
    </row>
    <row r="3" spans="1:7" ht="72" x14ac:dyDescent="0.3">
      <c r="A3" s="13" t="s">
        <v>13</v>
      </c>
      <c r="B3" s="14" t="s">
        <v>8</v>
      </c>
      <c r="C3" s="14" t="s">
        <v>14</v>
      </c>
      <c r="D3" s="15">
        <v>43651.4375</v>
      </c>
      <c r="E3" s="16" t="s">
        <v>15</v>
      </c>
      <c r="F3" s="14" t="s">
        <v>16</v>
      </c>
      <c r="G3" s="14" t="s">
        <v>17</v>
      </c>
    </row>
    <row r="4" spans="1:7" ht="100.8" x14ac:dyDescent="0.3">
      <c r="A4" s="13" t="s">
        <v>18</v>
      </c>
      <c r="B4" s="14" t="s">
        <v>8</v>
      </c>
      <c r="C4" s="14" t="s">
        <v>19</v>
      </c>
      <c r="D4" s="15">
        <v>43648.4375</v>
      </c>
      <c r="E4" s="16" t="s">
        <v>20</v>
      </c>
      <c r="F4" s="14" t="s">
        <v>21</v>
      </c>
      <c r="G4" s="14" t="s">
        <v>22</v>
      </c>
    </row>
    <row r="5" spans="1:7" ht="72" x14ac:dyDescent="0.3">
      <c r="A5" s="13" t="s">
        <v>23</v>
      </c>
      <c r="B5" s="14" t="s">
        <v>24</v>
      </c>
      <c r="C5" s="14" t="s">
        <v>25</v>
      </c>
      <c r="D5" s="15">
        <v>43638.708333333336</v>
      </c>
      <c r="E5" s="16" t="s">
        <v>10</v>
      </c>
      <c r="F5" s="14" t="s">
        <v>26</v>
      </c>
      <c r="G5" s="14" t="s">
        <v>27</v>
      </c>
    </row>
    <row r="6" spans="1:7" ht="86.4" x14ac:dyDescent="0.3">
      <c r="A6" s="13" t="s">
        <v>28</v>
      </c>
      <c r="B6" s="14" t="s">
        <v>24</v>
      </c>
      <c r="C6" s="14" t="s">
        <v>29</v>
      </c>
      <c r="D6" s="15">
        <v>43638.708333333336</v>
      </c>
      <c r="E6" s="16" t="s">
        <v>30</v>
      </c>
      <c r="F6" s="14" t="s">
        <v>31</v>
      </c>
      <c r="G6" s="14" t="s">
        <v>32</v>
      </c>
    </row>
    <row r="7" spans="1:7" ht="60" customHeight="1" x14ac:dyDescent="0.3">
      <c r="A7" s="13" t="s">
        <v>33</v>
      </c>
      <c r="B7" s="14" t="s">
        <v>24</v>
      </c>
      <c r="C7" s="14" t="s">
        <v>34</v>
      </c>
      <c r="D7" s="14" t="s">
        <v>35</v>
      </c>
      <c r="E7" s="16" t="s">
        <v>36</v>
      </c>
      <c r="F7" s="14" t="s">
        <v>37</v>
      </c>
      <c r="G7" s="14" t="s">
        <v>38</v>
      </c>
    </row>
    <row r="8" spans="1:7" ht="60.6" customHeight="1" x14ac:dyDescent="0.3">
      <c r="A8" s="13" t="s">
        <v>39</v>
      </c>
      <c r="B8" s="14" t="s">
        <v>24</v>
      </c>
      <c r="C8" s="14" t="s">
        <v>40</v>
      </c>
      <c r="D8" s="15">
        <v>43637.270833333336</v>
      </c>
      <c r="E8" s="16" t="s">
        <v>36</v>
      </c>
      <c r="F8" s="14" t="s">
        <v>41</v>
      </c>
      <c r="G8" s="14" t="s">
        <v>42</v>
      </c>
    </row>
    <row r="9" spans="1:7" ht="117" customHeight="1" x14ac:dyDescent="0.3">
      <c r="A9" s="13" t="s">
        <v>43</v>
      </c>
      <c r="B9" s="14" t="s">
        <v>24</v>
      </c>
      <c r="C9" s="14" t="s">
        <v>44</v>
      </c>
      <c r="D9" s="15">
        <v>43637.28125</v>
      </c>
      <c r="E9" s="16" t="s">
        <v>45</v>
      </c>
      <c r="F9" s="14" t="s">
        <v>46</v>
      </c>
      <c r="G9" s="14" t="s">
        <v>47</v>
      </c>
    </row>
    <row r="10" spans="1:7" x14ac:dyDescent="0.3">
      <c r="A10" s="11"/>
      <c r="B10" s="11"/>
      <c r="C10" s="11"/>
      <c r="D10" s="11"/>
      <c r="E10" s="12"/>
      <c r="F10" s="11"/>
      <c r="G10" s="11"/>
    </row>
  </sheetData>
  <conditionalFormatting sqref="E1:E1048576">
    <cfRule type="containsText" dxfId="144" priority="1" operator="containsText" text="Red">
      <formula>NOT(ISERROR(SEARCH("Red",E1)))</formula>
    </cfRule>
    <cfRule type="containsText" dxfId="143" priority="2" operator="containsText" text="Complete">
      <formula>NOT(ISERROR(SEARCH("Complete",E1)))</formula>
    </cfRule>
    <cfRule type="containsText" dxfId="142" priority="4" operator="containsText" text="Green">
      <formula>NOT(ISERROR(SEARCH("Green",E1)))</formula>
    </cfRule>
    <cfRule type="containsText" dxfId="141" priority="5" operator="containsText" text="Yellow">
      <formula>NOT(ISERROR(SEARCH("Yellow",E1)))</formula>
    </cfRule>
  </conditionalFormatting>
  <pageMargins left="0.7" right="0.7" top="0.75" bottom="0.75" header="0.3" footer="0.3"/>
  <pageSetup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88F38-7760-4943-BF9B-889780CD15EF}">
  <sheetPr codeName="Sheet2"/>
  <dimension ref="A1:G10"/>
  <sheetViews>
    <sheetView workbookViewId="0">
      <selection activeCell="C2" sqref="C2"/>
    </sheetView>
  </sheetViews>
  <sheetFormatPr defaultRowHeight="14.4" x14ac:dyDescent="0.3"/>
  <cols>
    <col min="1" max="1" width="26" customWidth="1"/>
    <col min="2" max="2" width="14.33203125" bestFit="1" customWidth="1"/>
    <col min="3" max="3" width="30.33203125" customWidth="1"/>
    <col min="4" max="4" width="14.6640625" bestFit="1" customWidth="1"/>
    <col min="5" max="5" width="41" customWidth="1"/>
    <col min="6" max="6" width="34.33203125" customWidth="1"/>
    <col min="7" max="7" width="57.88671875" customWidth="1"/>
  </cols>
  <sheetData>
    <row r="1" spans="1:7" x14ac:dyDescent="0.3">
      <c r="A1" s="1" t="s">
        <v>0</v>
      </c>
      <c r="B1" s="2" t="s">
        <v>1</v>
      </c>
      <c r="C1" s="2" t="s">
        <v>2</v>
      </c>
      <c r="D1" s="2" t="s">
        <v>3</v>
      </c>
      <c r="E1" s="8" t="s">
        <v>4</v>
      </c>
      <c r="F1" s="2" t="s">
        <v>5</v>
      </c>
      <c r="G1" s="3" t="s">
        <v>6</v>
      </c>
    </row>
    <row r="2" spans="1:7" ht="72" x14ac:dyDescent="0.3">
      <c r="A2" s="6" t="s">
        <v>48</v>
      </c>
      <c r="B2" s="4" t="s">
        <v>24</v>
      </c>
      <c r="C2" s="4" t="s">
        <v>49</v>
      </c>
      <c r="D2" s="7">
        <v>43638.520833333336</v>
      </c>
      <c r="E2" s="9" t="s">
        <v>50</v>
      </c>
      <c r="F2" s="4" t="s">
        <v>51</v>
      </c>
      <c r="G2" s="5" t="s">
        <v>52</v>
      </c>
    </row>
    <row r="3" spans="1:7" ht="57.6" x14ac:dyDescent="0.3">
      <c r="A3" s="6" t="s">
        <v>23</v>
      </c>
      <c r="B3" s="4" t="s">
        <v>24</v>
      </c>
      <c r="C3" s="4" t="s">
        <v>25</v>
      </c>
      <c r="D3" s="4" t="s">
        <v>53</v>
      </c>
      <c r="E3" s="9" t="s">
        <v>54</v>
      </c>
      <c r="F3" s="4" t="s">
        <v>55</v>
      </c>
      <c r="G3" s="5" t="s">
        <v>56</v>
      </c>
    </row>
    <row r="4" spans="1:7" ht="57.6" x14ac:dyDescent="0.3">
      <c r="A4" s="6" t="s">
        <v>28</v>
      </c>
      <c r="B4" s="4" t="s">
        <v>24</v>
      </c>
      <c r="C4" s="4" t="s">
        <v>29</v>
      </c>
      <c r="D4" s="7">
        <v>43638.708333333336</v>
      </c>
      <c r="E4" s="9" t="s">
        <v>57</v>
      </c>
      <c r="F4" s="4" t="s">
        <v>58</v>
      </c>
      <c r="G4" s="5" t="s">
        <v>59</v>
      </c>
    </row>
    <row r="5" spans="1:7" ht="57.6" x14ac:dyDescent="0.3">
      <c r="A5" s="6" t="s">
        <v>7</v>
      </c>
      <c r="B5" s="4" t="s">
        <v>8</v>
      </c>
      <c r="C5" s="4" t="s">
        <v>9</v>
      </c>
      <c r="D5" s="7">
        <v>43636.75</v>
      </c>
      <c r="E5" s="9" t="s">
        <v>60</v>
      </c>
      <c r="F5" s="4" t="s">
        <v>61</v>
      </c>
      <c r="G5" s="5" t="s">
        <v>62</v>
      </c>
    </row>
    <row r="6" spans="1:7" ht="57.6" x14ac:dyDescent="0.3">
      <c r="A6" s="6" t="s">
        <v>13</v>
      </c>
      <c r="B6" s="4" t="s">
        <v>8</v>
      </c>
      <c r="C6" s="4" t="s">
        <v>14</v>
      </c>
      <c r="D6" s="7">
        <v>43651.4375</v>
      </c>
      <c r="E6" s="9" t="s">
        <v>63</v>
      </c>
      <c r="F6" s="4" t="s">
        <v>64</v>
      </c>
      <c r="G6" s="5" t="s">
        <v>65</v>
      </c>
    </row>
    <row r="7" spans="1:7" ht="86.4" x14ac:dyDescent="0.3">
      <c r="A7" s="6" t="s">
        <v>18</v>
      </c>
      <c r="B7" s="4" t="s">
        <v>8</v>
      </c>
      <c r="C7" s="4" t="s">
        <v>19</v>
      </c>
      <c r="D7" s="7">
        <v>43648.4375</v>
      </c>
      <c r="E7" s="9" t="s">
        <v>20</v>
      </c>
      <c r="F7" s="4" t="s">
        <v>21</v>
      </c>
      <c r="G7" s="5" t="s">
        <v>66</v>
      </c>
    </row>
    <row r="8" spans="1:7" ht="57.6" x14ac:dyDescent="0.3">
      <c r="A8" s="6" t="s">
        <v>33</v>
      </c>
      <c r="B8" s="4" t="s">
        <v>24</v>
      </c>
      <c r="C8" s="4" t="s">
        <v>34</v>
      </c>
      <c r="D8" s="4" t="s">
        <v>35</v>
      </c>
      <c r="E8" s="9" t="s">
        <v>36</v>
      </c>
      <c r="F8" s="4" t="s">
        <v>67</v>
      </c>
      <c r="G8" s="5" t="s">
        <v>38</v>
      </c>
    </row>
    <row r="9" spans="1:7" ht="72" x14ac:dyDescent="0.3">
      <c r="A9" s="6" t="s">
        <v>39</v>
      </c>
      <c r="B9" s="4" t="s">
        <v>24</v>
      </c>
      <c r="C9" s="4" t="s">
        <v>40</v>
      </c>
      <c r="D9" s="7">
        <v>43637.270833333336</v>
      </c>
      <c r="E9" s="9" t="s">
        <v>45</v>
      </c>
      <c r="F9" s="4" t="s">
        <v>68</v>
      </c>
      <c r="G9" s="5" t="s">
        <v>69</v>
      </c>
    </row>
    <row r="10" spans="1:7" ht="72" x14ac:dyDescent="0.3">
      <c r="A10" s="6" t="s">
        <v>43</v>
      </c>
      <c r="B10" s="4" t="s">
        <v>24</v>
      </c>
      <c r="C10" s="4" t="s">
        <v>44</v>
      </c>
      <c r="D10" s="7">
        <v>43637.28125</v>
      </c>
      <c r="E10" s="9" t="s">
        <v>45</v>
      </c>
      <c r="F10" s="4" t="s">
        <v>46</v>
      </c>
      <c r="G10" s="5" t="s">
        <v>69</v>
      </c>
    </row>
  </sheetData>
  <conditionalFormatting sqref="E1:E10">
    <cfRule type="containsText" dxfId="128" priority="1" operator="containsText" text="Complete">
      <formula>NOT(ISERROR(SEARCH("Complete",E1)))</formula>
    </cfRule>
    <cfRule type="containsText" dxfId="127" priority="2" operator="containsText" text="Green">
      <formula>NOT(ISERROR(SEARCH("Green",E1)))</formula>
    </cfRule>
    <cfRule type="containsText" dxfId="126" priority="3" operator="containsText" text="Yellow">
      <formula>NOT(ISERROR(SEARCH("Yellow",E1)))</formula>
    </cfRule>
  </conditionalFormatting>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8467F-B27E-4CFA-A1D6-92C69EF84785}">
  <sheetPr codeName="Sheet3"/>
  <dimension ref="A1:G3"/>
  <sheetViews>
    <sheetView workbookViewId="0">
      <selection sqref="A1:G3"/>
    </sheetView>
  </sheetViews>
  <sheetFormatPr defaultRowHeight="14.4" x14ac:dyDescent="0.3"/>
  <cols>
    <col min="1" max="1" width="16.33203125" customWidth="1"/>
    <col min="2" max="2" width="13.6640625" customWidth="1"/>
    <col min="3" max="3" width="25.88671875" bestFit="1" customWidth="1"/>
    <col min="4" max="4" width="15.33203125" bestFit="1" customWidth="1"/>
    <col min="5" max="5" width="20.5546875" customWidth="1"/>
    <col min="6" max="6" width="32.88671875" customWidth="1"/>
    <col min="7" max="7" width="58.88671875" customWidth="1"/>
  </cols>
  <sheetData>
    <row r="1" spans="1:7" s="10" customFormat="1" x14ac:dyDescent="0.3">
      <c r="A1" s="22" t="s">
        <v>0</v>
      </c>
      <c r="B1" s="18" t="s">
        <v>1</v>
      </c>
      <c r="C1" s="18" t="s">
        <v>2</v>
      </c>
      <c r="D1" s="18" t="s">
        <v>3</v>
      </c>
      <c r="E1" s="18" t="s">
        <v>4</v>
      </c>
      <c r="F1" s="18" t="s">
        <v>5</v>
      </c>
      <c r="G1" s="25" t="s">
        <v>6</v>
      </c>
    </row>
    <row r="2" spans="1:7" ht="129.6" x14ac:dyDescent="0.3">
      <c r="A2" s="23" t="s">
        <v>70</v>
      </c>
      <c r="B2" s="14" t="s">
        <v>24</v>
      </c>
      <c r="C2" s="14" t="s">
        <v>71</v>
      </c>
      <c r="D2" s="17">
        <v>43652.416666666664</v>
      </c>
      <c r="E2" s="16" t="s">
        <v>10</v>
      </c>
      <c r="F2" s="14" t="s">
        <v>72</v>
      </c>
      <c r="G2" s="26" t="s">
        <v>73</v>
      </c>
    </row>
    <row r="3" spans="1:7" ht="57.6" x14ac:dyDescent="0.3">
      <c r="A3" s="24" t="s">
        <v>74</v>
      </c>
      <c r="B3" s="19" t="s">
        <v>75</v>
      </c>
      <c r="C3" s="19" t="s">
        <v>76</v>
      </c>
      <c r="D3" s="20">
        <v>43649.75</v>
      </c>
      <c r="E3" s="21" t="s">
        <v>10</v>
      </c>
      <c r="F3" s="19" t="s">
        <v>77</v>
      </c>
      <c r="G3" s="27" t="s">
        <v>78</v>
      </c>
    </row>
  </sheetData>
  <conditionalFormatting sqref="E1:E3">
    <cfRule type="containsText" dxfId="113" priority="2" operator="containsText" text="Complete">
      <formula>NOT(ISERROR(SEARCH("Complete",E1)))</formula>
    </cfRule>
    <cfRule type="containsText" dxfId="112" priority="3" operator="containsText" text="Green">
      <formula>NOT(ISERROR(SEARCH("Green",E1)))</formula>
    </cfRule>
    <cfRule type="containsText" dxfId="111" priority="4" operator="containsText" text="Yellow">
      <formula>NOT(ISERROR(SEARCH("Yellow",E1)))</formula>
    </cfRule>
  </conditionalFormatting>
  <conditionalFormatting sqref="E1:E1048576">
    <cfRule type="containsText" dxfId="110" priority="1" operator="containsText" text="Red">
      <formula>NOT(ISERROR(SEARCH("Red",E1)))</formula>
    </cfRule>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C6700-3B5C-4373-80E9-0E3170F56629}">
  <sheetPr codeName="Sheet4"/>
  <dimension ref="A3:BH24"/>
  <sheetViews>
    <sheetView tabSelected="1" workbookViewId="0">
      <selection activeCell="AG16" sqref="AG16"/>
    </sheetView>
  </sheetViews>
  <sheetFormatPr defaultColWidth="20.6640625" defaultRowHeight="14.4" x14ac:dyDescent="0.3"/>
  <cols>
    <col min="1" max="1" width="6.6640625" bestFit="1" customWidth="1"/>
    <col min="2" max="11" width="4.77734375" customWidth="1"/>
    <col min="12" max="19" width="4.77734375" style="44" customWidth="1"/>
    <col min="20" max="21" width="4.77734375" customWidth="1"/>
    <col min="22" max="22" width="5.5546875" bestFit="1" customWidth="1"/>
    <col min="23" max="59" width="4.77734375" customWidth="1"/>
  </cols>
  <sheetData>
    <row r="3" spans="1:60" ht="15" thickBot="1" x14ac:dyDescent="0.35">
      <c r="B3" s="43"/>
      <c r="C3" s="43"/>
      <c r="D3" s="43"/>
      <c r="E3" s="43"/>
      <c r="F3" s="43"/>
      <c r="G3" s="43"/>
      <c r="H3" s="43"/>
      <c r="I3" s="43"/>
      <c r="J3" s="43"/>
      <c r="K3" s="43"/>
    </row>
    <row r="4" spans="1:60" x14ac:dyDescent="0.3">
      <c r="A4" s="78" t="s">
        <v>200</v>
      </c>
      <c r="B4" s="111" t="s">
        <v>202</v>
      </c>
      <c r="C4" s="112"/>
      <c r="D4" s="112"/>
      <c r="E4" s="112"/>
      <c r="F4" s="112"/>
      <c r="G4" s="112"/>
      <c r="H4" s="112"/>
      <c r="I4" s="112"/>
      <c r="J4" s="112"/>
      <c r="K4" s="112"/>
      <c r="L4" s="113" t="s">
        <v>147</v>
      </c>
      <c r="M4" s="105"/>
      <c r="N4" s="105"/>
      <c r="O4" s="105"/>
      <c r="P4" s="105"/>
      <c r="Q4" s="105"/>
      <c r="R4" s="105"/>
      <c r="S4" s="105"/>
      <c r="T4" s="107" t="s">
        <v>79</v>
      </c>
      <c r="U4" s="108"/>
      <c r="V4" s="108"/>
      <c r="W4" s="108"/>
      <c r="X4" s="108"/>
      <c r="Y4" s="104" t="s">
        <v>148</v>
      </c>
      <c r="Z4" s="105"/>
      <c r="AA4" s="105"/>
      <c r="AB4" s="105"/>
      <c r="AC4" s="105"/>
      <c r="AD4" s="105"/>
      <c r="AE4" s="105"/>
      <c r="AF4" s="105"/>
      <c r="AG4" s="107" t="s">
        <v>80</v>
      </c>
      <c r="AH4" s="108"/>
      <c r="AI4" s="109"/>
      <c r="AJ4" s="110"/>
      <c r="AK4" s="115" t="s">
        <v>81</v>
      </c>
      <c r="AL4" s="116"/>
      <c r="AM4" s="116"/>
      <c r="AN4" s="116"/>
      <c r="AO4" s="117"/>
      <c r="AP4" s="104" t="s">
        <v>204</v>
      </c>
      <c r="AQ4" s="114"/>
      <c r="AR4" s="101" t="s">
        <v>149</v>
      </c>
      <c r="AS4" s="102"/>
      <c r="AT4" s="102"/>
      <c r="AU4" s="104" t="s">
        <v>150</v>
      </c>
      <c r="AV4" s="105"/>
      <c r="AW4" s="105"/>
      <c r="AX4" s="101" t="s">
        <v>82</v>
      </c>
      <c r="AY4" s="102"/>
      <c r="AZ4" s="102"/>
      <c r="BA4" s="103"/>
      <c r="BB4" s="104" t="s">
        <v>83</v>
      </c>
      <c r="BC4" s="105"/>
      <c r="BD4" s="105"/>
      <c r="BE4" s="105"/>
      <c r="BF4" s="105"/>
      <c r="BG4" s="106"/>
    </row>
    <row r="5" spans="1:60" ht="15" thickBot="1" x14ac:dyDescent="0.35">
      <c r="A5" s="92" t="s">
        <v>145</v>
      </c>
      <c r="B5" s="83" t="s">
        <v>203</v>
      </c>
      <c r="C5" s="83" t="s">
        <v>152</v>
      </c>
      <c r="D5" s="83" t="s">
        <v>153</v>
      </c>
      <c r="E5" s="83" t="s">
        <v>154</v>
      </c>
      <c r="F5" s="83" t="s">
        <v>155</v>
      </c>
      <c r="G5" s="100" t="s">
        <v>161</v>
      </c>
      <c r="H5" s="83" t="s">
        <v>162</v>
      </c>
      <c r="I5" s="93"/>
      <c r="J5" s="93"/>
      <c r="K5" s="93"/>
      <c r="L5" s="94" t="s">
        <v>163</v>
      </c>
      <c r="M5" s="83" t="s">
        <v>164</v>
      </c>
      <c r="N5" s="83" t="s">
        <v>165</v>
      </c>
      <c r="O5" s="83" t="s">
        <v>166</v>
      </c>
      <c r="P5" s="83" t="s">
        <v>167</v>
      </c>
      <c r="Q5" s="83" t="s">
        <v>168</v>
      </c>
      <c r="R5" s="83" t="s">
        <v>169</v>
      </c>
      <c r="S5" s="83" t="s">
        <v>170</v>
      </c>
      <c r="T5" s="83" t="s">
        <v>163</v>
      </c>
      <c r="U5" s="83" t="s">
        <v>164</v>
      </c>
      <c r="V5" s="83" t="s">
        <v>165</v>
      </c>
      <c r="W5" s="93"/>
      <c r="X5" s="93"/>
      <c r="Y5" s="83" t="s">
        <v>169</v>
      </c>
      <c r="Z5" s="83" t="s">
        <v>170</v>
      </c>
      <c r="AA5" s="83" t="s">
        <v>172</v>
      </c>
      <c r="AB5" s="83" t="s">
        <v>173</v>
      </c>
      <c r="AC5" s="83" t="s">
        <v>174</v>
      </c>
      <c r="AD5" s="95" t="s">
        <v>175</v>
      </c>
      <c r="AE5" s="83" t="s">
        <v>176</v>
      </c>
      <c r="AF5" s="93"/>
      <c r="AG5" s="83" t="s">
        <v>177</v>
      </c>
      <c r="AH5" s="83" t="s">
        <v>180</v>
      </c>
      <c r="AI5" s="93"/>
      <c r="AJ5" s="93"/>
      <c r="AK5" s="83" t="s">
        <v>181</v>
      </c>
      <c r="AL5" s="83" t="s">
        <v>182</v>
      </c>
      <c r="AM5" s="93"/>
      <c r="AN5" s="93"/>
      <c r="AO5" s="93"/>
      <c r="AP5" s="83" t="s">
        <v>205</v>
      </c>
      <c r="AQ5" s="83" t="s">
        <v>206</v>
      </c>
      <c r="AR5" s="83" t="s">
        <v>183</v>
      </c>
      <c r="AS5" s="83" t="s">
        <v>184</v>
      </c>
      <c r="AT5" s="83" t="s">
        <v>185</v>
      </c>
      <c r="AU5" s="83" t="s">
        <v>186</v>
      </c>
      <c r="AV5" s="83" t="s">
        <v>187</v>
      </c>
      <c r="AW5" s="83" t="s">
        <v>188</v>
      </c>
      <c r="AX5" s="83" t="s">
        <v>189</v>
      </c>
      <c r="AY5" s="83" t="s">
        <v>190</v>
      </c>
      <c r="AZ5" s="83" t="s">
        <v>191</v>
      </c>
      <c r="BA5" s="83" t="s">
        <v>192</v>
      </c>
      <c r="BB5" s="83" t="s">
        <v>193</v>
      </c>
      <c r="BC5" s="83" t="s">
        <v>194</v>
      </c>
      <c r="BD5" s="83" t="s">
        <v>195</v>
      </c>
      <c r="BE5" s="83" t="s">
        <v>196</v>
      </c>
      <c r="BF5" s="83" t="s">
        <v>197</v>
      </c>
      <c r="BG5" s="96" t="s">
        <v>198</v>
      </c>
      <c r="BH5" s="76"/>
    </row>
    <row r="6" spans="1:60" x14ac:dyDescent="0.3">
      <c r="A6" s="79" t="s">
        <v>199</v>
      </c>
      <c r="B6" s="88" t="s">
        <v>151</v>
      </c>
      <c r="C6" s="88" t="s">
        <v>152</v>
      </c>
      <c r="D6" s="88" t="s">
        <v>154</v>
      </c>
      <c r="E6" s="88" t="s">
        <v>155</v>
      </c>
      <c r="F6" s="88" t="s">
        <v>156</v>
      </c>
      <c r="G6" s="88" t="s">
        <v>157</v>
      </c>
      <c r="H6" s="88" t="s">
        <v>158</v>
      </c>
      <c r="I6" s="88" t="s">
        <v>159</v>
      </c>
      <c r="J6" s="88" t="s">
        <v>160</v>
      </c>
      <c r="K6" s="88" t="s">
        <v>161</v>
      </c>
      <c r="L6" s="88" t="s">
        <v>163</v>
      </c>
      <c r="M6" s="88" t="s">
        <v>164</v>
      </c>
      <c r="N6" s="88" t="s">
        <v>165</v>
      </c>
      <c r="O6" s="88" t="s">
        <v>166</v>
      </c>
      <c r="P6" s="88" t="s">
        <v>167</v>
      </c>
      <c r="Q6" s="88" t="s">
        <v>168</v>
      </c>
      <c r="R6" s="88" t="s">
        <v>169</v>
      </c>
      <c r="S6" s="88" t="s">
        <v>170</v>
      </c>
      <c r="T6" s="88" t="s">
        <v>163</v>
      </c>
      <c r="U6" s="88" t="s">
        <v>164</v>
      </c>
      <c r="V6" s="88" t="s">
        <v>165</v>
      </c>
      <c r="W6" s="88" t="s">
        <v>166</v>
      </c>
      <c r="X6" s="88" t="s">
        <v>167</v>
      </c>
      <c r="Y6" s="88" t="s">
        <v>169</v>
      </c>
      <c r="Z6" s="88" t="s">
        <v>170</v>
      </c>
      <c r="AA6" s="88" t="s">
        <v>171</v>
      </c>
      <c r="AB6" s="88" t="s">
        <v>172</v>
      </c>
      <c r="AC6" s="88" t="s">
        <v>173</v>
      </c>
      <c r="AD6" s="88" t="s">
        <v>174</v>
      </c>
      <c r="AE6" s="89" t="s">
        <v>175</v>
      </c>
      <c r="AF6" s="88" t="s">
        <v>176</v>
      </c>
      <c r="AG6" s="88" t="s">
        <v>177</v>
      </c>
      <c r="AH6" s="88" t="s">
        <v>178</v>
      </c>
      <c r="AI6" s="88" t="s">
        <v>179</v>
      </c>
      <c r="AJ6" s="88" t="s">
        <v>180</v>
      </c>
      <c r="AK6" s="88" t="s">
        <v>181</v>
      </c>
      <c r="AL6" s="88" t="s">
        <v>182</v>
      </c>
      <c r="AM6" s="90"/>
      <c r="AN6" s="90"/>
      <c r="AO6" s="90"/>
      <c r="AP6" s="90"/>
      <c r="AQ6" s="90"/>
      <c r="AR6" s="88" t="s">
        <v>183</v>
      </c>
      <c r="AS6" s="88" t="s">
        <v>184</v>
      </c>
      <c r="AT6" s="88" t="s">
        <v>185</v>
      </c>
      <c r="AU6" s="88" t="s">
        <v>186</v>
      </c>
      <c r="AV6" s="88" t="s">
        <v>187</v>
      </c>
      <c r="AW6" s="88" t="s">
        <v>188</v>
      </c>
      <c r="AX6" s="88" t="s">
        <v>189</v>
      </c>
      <c r="AY6" s="88" t="s">
        <v>190</v>
      </c>
      <c r="AZ6" s="88" t="s">
        <v>191</v>
      </c>
      <c r="BA6" s="88" t="s">
        <v>192</v>
      </c>
      <c r="BB6" s="88" t="s">
        <v>193</v>
      </c>
      <c r="BC6" s="88" t="s">
        <v>194</v>
      </c>
      <c r="BD6" s="88" t="s">
        <v>195</v>
      </c>
      <c r="BE6" s="88" t="s">
        <v>196</v>
      </c>
      <c r="BF6" s="88" t="s">
        <v>197</v>
      </c>
      <c r="BG6" s="91" t="s">
        <v>198</v>
      </c>
    </row>
    <row r="7" spans="1:60" x14ac:dyDescent="0.3">
      <c r="A7" s="80" t="s">
        <v>208</v>
      </c>
      <c r="B7" s="66" t="s">
        <v>203</v>
      </c>
      <c r="C7" s="66" t="s">
        <v>152</v>
      </c>
      <c r="D7" s="66" t="s">
        <v>153</v>
      </c>
      <c r="E7" s="66" t="s">
        <v>154</v>
      </c>
      <c r="F7" s="66" t="s">
        <v>155</v>
      </c>
      <c r="G7" s="66" t="s">
        <v>156</v>
      </c>
      <c r="H7" s="66" t="s">
        <v>157</v>
      </c>
      <c r="I7" s="66" t="s">
        <v>158</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66" t="s">
        <v>181</v>
      </c>
      <c r="AL7" s="66" t="s">
        <v>182</v>
      </c>
      <c r="AM7" s="77"/>
      <c r="AN7" s="77"/>
      <c r="AO7" s="77"/>
      <c r="AP7" s="77"/>
      <c r="AQ7" s="77"/>
      <c r="AR7" s="77"/>
      <c r="AS7" s="77"/>
      <c r="AT7" s="77"/>
      <c r="AU7" s="77"/>
      <c r="AV7" s="77"/>
      <c r="AW7" s="77"/>
      <c r="AX7" s="77"/>
      <c r="AY7" s="77"/>
      <c r="AZ7" s="77"/>
      <c r="BA7" s="77"/>
      <c r="BB7" s="77"/>
      <c r="BC7" s="77"/>
      <c r="BD7" s="77"/>
      <c r="BE7" s="77"/>
      <c r="BF7" s="77"/>
      <c r="BG7" s="81"/>
    </row>
    <row r="8" spans="1:60" x14ac:dyDescent="0.3">
      <c r="A8" s="80" t="s">
        <v>146</v>
      </c>
      <c r="B8" s="66" t="s">
        <v>203</v>
      </c>
      <c r="C8" s="66" t="s">
        <v>152</v>
      </c>
      <c r="D8" s="66" t="s">
        <v>155</v>
      </c>
      <c r="E8" s="66" t="s">
        <v>156</v>
      </c>
      <c r="F8" s="66" t="s">
        <v>157</v>
      </c>
      <c r="G8" s="66" t="s">
        <v>158</v>
      </c>
      <c r="H8" s="66" t="s">
        <v>159</v>
      </c>
      <c r="I8" s="66" t="s">
        <v>160</v>
      </c>
      <c r="J8" s="66" t="s">
        <v>161</v>
      </c>
      <c r="K8" s="77"/>
      <c r="L8" s="77"/>
      <c r="M8" s="77"/>
      <c r="N8" s="77"/>
      <c r="O8" s="77"/>
      <c r="P8" s="77"/>
      <c r="Q8" s="77"/>
      <c r="R8" s="77"/>
      <c r="S8" s="77"/>
      <c r="T8" s="77"/>
      <c r="U8" s="77"/>
      <c r="V8" s="77"/>
      <c r="W8" s="77"/>
      <c r="X8" s="77"/>
      <c r="Y8" s="77"/>
      <c r="Z8" s="77"/>
      <c r="AA8" s="77"/>
      <c r="AB8" s="77"/>
      <c r="AC8" s="77"/>
      <c r="AD8" s="77"/>
      <c r="AE8" s="77"/>
      <c r="AF8" s="77"/>
      <c r="AG8" s="77"/>
      <c r="AH8" s="77"/>
      <c r="AI8" s="77"/>
      <c r="AJ8" s="77"/>
      <c r="AK8" s="66" t="s">
        <v>181</v>
      </c>
      <c r="AL8" s="66" t="s">
        <v>182</v>
      </c>
      <c r="AM8" s="66" t="s">
        <v>210</v>
      </c>
      <c r="AN8" s="66" t="s">
        <v>211</v>
      </c>
      <c r="AO8" s="66" t="s">
        <v>212</v>
      </c>
      <c r="AP8" s="77"/>
      <c r="AQ8" s="77"/>
      <c r="AR8" s="77"/>
      <c r="AS8" s="77"/>
      <c r="AT8" s="77"/>
      <c r="AU8" s="77"/>
      <c r="AV8" s="77"/>
      <c r="AW8" s="77"/>
      <c r="AX8" s="77"/>
      <c r="AY8" s="77"/>
      <c r="AZ8" s="77"/>
      <c r="BA8" s="77"/>
      <c r="BB8" s="77"/>
      <c r="BC8" s="77"/>
      <c r="BD8" s="77"/>
      <c r="BE8" s="77"/>
      <c r="BF8" s="77"/>
      <c r="BG8" s="81"/>
    </row>
    <row r="9" spans="1:60" ht="15" thickBot="1" x14ac:dyDescent="0.35">
      <c r="A9" s="82"/>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4"/>
      <c r="AH9" s="84"/>
      <c r="AI9" s="85"/>
      <c r="AJ9" s="84"/>
      <c r="AK9" s="86"/>
      <c r="AL9" s="84"/>
      <c r="AM9" s="84"/>
      <c r="AN9" s="84"/>
      <c r="AO9" s="84"/>
      <c r="AP9" s="84"/>
      <c r="AQ9" s="84"/>
      <c r="AR9" s="84"/>
      <c r="AS9" s="84"/>
      <c r="AT9" s="84"/>
      <c r="AU9" s="84"/>
      <c r="AV9" s="84"/>
      <c r="AW9" s="84"/>
      <c r="AX9" s="83"/>
      <c r="AY9" s="83"/>
      <c r="AZ9" s="83"/>
      <c r="BA9" s="83"/>
      <c r="BB9" s="84"/>
      <c r="BC9" s="84"/>
      <c r="BD9" s="84"/>
      <c r="BE9" s="84"/>
      <c r="BF9" s="84"/>
      <c r="BG9" s="87"/>
    </row>
    <row r="10" spans="1:60" x14ac:dyDescent="0.3">
      <c r="L10"/>
      <c r="M10"/>
      <c r="N10"/>
      <c r="O10"/>
      <c r="P10"/>
      <c r="Q10"/>
      <c r="R10"/>
      <c r="S10"/>
    </row>
    <row r="11" spans="1:60" x14ac:dyDescent="0.3">
      <c r="L11"/>
      <c r="M11"/>
      <c r="N11"/>
      <c r="O11"/>
      <c r="P11"/>
      <c r="Q11"/>
      <c r="R11"/>
      <c r="S11"/>
      <c r="AF11" t="s">
        <v>84</v>
      </c>
    </row>
    <row r="12" spans="1:60" x14ac:dyDescent="0.3">
      <c r="L12"/>
      <c r="M12"/>
      <c r="N12"/>
      <c r="O12"/>
      <c r="P12"/>
      <c r="Q12"/>
      <c r="R12"/>
      <c r="S12"/>
    </row>
    <row r="13" spans="1:60" x14ac:dyDescent="0.3">
      <c r="L13"/>
      <c r="M13"/>
      <c r="N13"/>
      <c r="O13"/>
      <c r="P13"/>
      <c r="Q13"/>
      <c r="R13"/>
      <c r="S13"/>
    </row>
    <row r="14" spans="1:60" x14ac:dyDescent="0.3">
      <c r="C14" s="97"/>
      <c r="D14" t="s">
        <v>217</v>
      </c>
      <c r="G14" t="s">
        <v>145</v>
      </c>
      <c r="H14" t="s">
        <v>199</v>
      </c>
      <c r="I14" t="s">
        <v>208</v>
      </c>
      <c r="J14" t="s">
        <v>218</v>
      </c>
      <c r="L14"/>
      <c r="M14"/>
      <c r="N14"/>
      <c r="O14"/>
      <c r="P14"/>
      <c r="Q14"/>
      <c r="R14"/>
      <c r="S14"/>
    </row>
    <row r="15" spans="1:60" x14ac:dyDescent="0.3">
      <c r="C15" s="98"/>
      <c r="D15" t="s">
        <v>214</v>
      </c>
      <c r="L15"/>
      <c r="M15"/>
      <c r="N15"/>
      <c r="O15"/>
      <c r="P15"/>
      <c r="Q15"/>
      <c r="R15"/>
      <c r="S15"/>
    </row>
    <row r="16" spans="1:60" ht="15" thickBot="1" x14ac:dyDescent="0.35">
      <c r="C16" s="93"/>
      <c r="D16" t="s">
        <v>215</v>
      </c>
      <c r="L16"/>
      <c r="M16"/>
      <c r="N16"/>
      <c r="O16"/>
      <c r="P16"/>
      <c r="Q16"/>
      <c r="R16"/>
      <c r="S16"/>
    </row>
    <row r="17" spans="3:22" x14ac:dyDescent="0.3">
      <c r="C17" s="99"/>
      <c r="D17" t="s">
        <v>216</v>
      </c>
      <c r="U17" t="e" cm="1">
        <f t="array" ref="U17">countce</f>
        <v>#NAME?</v>
      </c>
    </row>
    <row r="18" spans="3:22" x14ac:dyDescent="0.3">
      <c r="E18" t="s">
        <v>84</v>
      </c>
      <c r="V18" s="75"/>
    </row>
    <row r="20" spans="3:22" x14ac:dyDescent="0.3">
      <c r="L20"/>
      <c r="M20"/>
      <c r="N20"/>
      <c r="O20"/>
      <c r="P20"/>
      <c r="Q20"/>
      <c r="R20"/>
      <c r="S20"/>
    </row>
    <row r="21" spans="3:22" x14ac:dyDescent="0.3">
      <c r="F21" s="44"/>
    </row>
    <row r="24" spans="3:22" x14ac:dyDescent="0.3">
      <c r="M24" s="45"/>
    </row>
  </sheetData>
  <mergeCells count="11">
    <mergeCell ref="AX4:BA4"/>
    <mergeCell ref="BB4:BG4"/>
    <mergeCell ref="AG4:AJ4"/>
    <mergeCell ref="AR4:AT4"/>
    <mergeCell ref="B4:K4"/>
    <mergeCell ref="L4:S4"/>
    <mergeCell ref="T4:X4"/>
    <mergeCell ref="Y4:AF4"/>
    <mergeCell ref="AU4:AW4"/>
    <mergeCell ref="AP4:AQ4"/>
    <mergeCell ref="AK4:AO4"/>
  </mergeCells>
  <phoneticPr fontId="7" type="noConversion"/>
  <pageMargins left="0.7" right="0.7" top="0.75" bottom="0.75" header="0.3" footer="0.3"/>
  <pageSetup paperSize="9" fitToWidth="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DBD6-39A5-4502-94A2-D91AE372A2EF}">
  <sheetPr codeName="Sheet5">
    <tabColor theme="0"/>
  </sheetPr>
  <dimension ref="A1:G9"/>
  <sheetViews>
    <sheetView workbookViewId="0">
      <selection sqref="A1:G6"/>
    </sheetView>
  </sheetViews>
  <sheetFormatPr defaultRowHeight="14.4" x14ac:dyDescent="0.3"/>
  <cols>
    <col min="1" max="1" width="18.33203125" customWidth="1"/>
    <col min="2" max="2" width="12.44140625" customWidth="1"/>
    <col min="3" max="3" width="27.6640625" customWidth="1"/>
    <col min="4" max="4" width="16.88671875" customWidth="1"/>
    <col min="5" max="5" width="13.44140625" customWidth="1"/>
    <col min="6" max="6" width="38.88671875" customWidth="1"/>
    <col min="7" max="7" width="61.88671875" style="33" customWidth="1"/>
  </cols>
  <sheetData>
    <row r="1" spans="1:7" x14ac:dyDescent="0.3">
      <c r="A1" s="28" t="s">
        <v>0</v>
      </c>
      <c r="B1" s="29" t="s">
        <v>1</v>
      </c>
      <c r="C1" s="29" t="s">
        <v>2</v>
      </c>
      <c r="D1" s="29" t="s">
        <v>3</v>
      </c>
      <c r="E1" s="29" t="s">
        <v>4</v>
      </c>
      <c r="F1" s="29" t="s">
        <v>5</v>
      </c>
      <c r="G1" s="32" t="s">
        <v>6</v>
      </c>
    </row>
    <row r="2" spans="1:7" ht="72" x14ac:dyDescent="0.3">
      <c r="A2" s="30" t="s">
        <v>85</v>
      </c>
      <c r="B2" s="31" t="s">
        <v>24</v>
      </c>
      <c r="C2" s="14" t="s">
        <v>86</v>
      </c>
      <c r="D2" s="17">
        <v>43659.458333333336</v>
      </c>
      <c r="E2" s="41" t="s">
        <v>87</v>
      </c>
      <c r="F2" s="4" t="s">
        <v>88</v>
      </c>
      <c r="G2" s="34" t="s">
        <v>89</v>
      </c>
    </row>
    <row r="3" spans="1:7" ht="67.5" customHeight="1" x14ac:dyDescent="0.3">
      <c r="A3" s="30" t="s">
        <v>90</v>
      </c>
      <c r="B3" s="31" t="s">
        <v>24</v>
      </c>
      <c r="C3" s="14" t="s">
        <v>91</v>
      </c>
      <c r="D3" s="17">
        <v>43659.458333333336</v>
      </c>
      <c r="E3" s="41" t="s">
        <v>87</v>
      </c>
      <c r="F3" s="4" t="s">
        <v>88</v>
      </c>
      <c r="G3" s="34" t="s">
        <v>89</v>
      </c>
    </row>
    <row r="4" spans="1:7" ht="72" x14ac:dyDescent="0.3">
      <c r="A4" s="30" t="s">
        <v>92</v>
      </c>
      <c r="B4" s="31" t="s">
        <v>24</v>
      </c>
      <c r="C4" s="14" t="s">
        <v>91</v>
      </c>
      <c r="D4" s="17">
        <v>43659.458333333336</v>
      </c>
      <c r="E4" s="41" t="s">
        <v>87</v>
      </c>
      <c r="F4" s="4" t="s">
        <v>93</v>
      </c>
      <c r="G4" s="34" t="s">
        <v>89</v>
      </c>
    </row>
    <row r="5" spans="1:7" ht="72" x14ac:dyDescent="0.3">
      <c r="A5" s="30" t="s">
        <v>94</v>
      </c>
      <c r="B5" s="31" t="s">
        <v>24</v>
      </c>
      <c r="C5" s="14" t="s">
        <v>91</v>
      </c>
      <c r="D5" s="17">
        <v>43659.583333333336</v>
      </c>
      <c r="E5" s="42" t="s">
        <v>87</v>
      </c>
      <c r="F5" s="4" t="s">
        <v>95</v>
      </c>
      <c r="G5" s="34" t="s">
        <v>89</v>
      </c>
    </row>
    <row r="6" spans="1:7" ht="72" x14ac:dyDescent="0.3">
      <c r="A6" s="30" t="s">
        <v>96</v>
      </c>
      <c r="B6" s="31" t="s">
        <v>24</v>
      </c>
      <c r="C6" s="14" t="s">
        <v>97</v>
      </c>
      <c r="D6" s="17">
        <v>43659.458333333336</v>
      </c>
      <c r="E6" s="41" t="s">
        <v>87</v>
      </c>
      <c r="F6" s="4" t="s">
        <v>98</v>
      </c>
      <c r="G6" s="34" t="s">
        <v>89</v>
      </c>
    </row>
    <row r="7" spans="1:7" ht="144" x14ac:dyDescent="0.3">
      <c r="A7" s="30" t="s">
        <v>99</v>
      </c>
      <c r="B7" s="31" t="s">
        <v>24</v>
      </c>
      <c r="C7" s="4" t="s">
        <v>100</v>
      </c>
      <c r="D7" s="35">
        <v>43659.479166666664</v>
      </c>
      <c r="E7" s="41" t="s">
        <v>101</v>
      </c>
      <c r="F7" s="4" t="s">
        <v>102</v>
      </c>
      <c r="G7" s="34" t="s">
        <v>103</v>
      </c>
    </row>
    <row r="8" spans="1:7" ht="72" x14ac:dyDescent="0.3">
      <c r="A8" s="30" t="s">
        <v>104</v>
      </c>
      <c r="B8" s="31" t="s">
        <v>105</v>
      </c>
      <c r="C8" s="4" t="s">
        <v>106</v>
      </c>
      <c r="D8" s="35">
        <v>43654.729166666664</v>
      </c>
      <c r="E8" s="9" t="s">
        <v>10</v>
      </c>
      <c r="F8" s="4" t="s">
        <v>107</v>
      </c>
      <c r="G8" s="34" t="s">
        <v>108</v>
      </c>
    </row>
    <row r="9" spans="1:7" ht="57.6" x14ac:dyDescent="0.3">
      <c r="A9" s="36" t="s">
        <v>109</v>
      </c>
      <c r="B9" s="37" t="s">
        <v>110</v>
      </c>
      <c r="C9" s="38" t="s">
        <v>111</v>
      </c>
      <c r="D9" s="39">
        <v>43654.770833333336</v>
      </c>
      <c r="E9" s="9" t="s">
        <v>10</v>
      </c>
      <c r="F9" s="38" t="s">
        <v>112</v>
      </c>
      <c r="G9" s="40" t="s">
        <v>113</v>
      </c>
    </row>
  </sheetData>
  <conditionalFormatting sqref="E1:E1048576">
    <cfRule type="containsText" dxfId="97" priority="1" operator="containsText" text="Rollback">
      <formula>NOT(ISERROR(SEARCH("Rollback",E1)))</formula>
    </cfRule>
    <cfRule type="containsText" dxfId="96" priority="18" operator="containsText" text="Complete">
      <formula>NOT(ISERROR(SEARCH("Complete",E1)))</formula>
    </cfRule>
    <cfRule type="containsText" dxfId="95" priority="19" operator="containsText" text="Yellow">
      <formula>NOT(ISERROR(SEARCH("Yellow",E1)))</formula>
    </cfRule>
    <cfRule type="containsText" dxfId="94" priority="20" operator="containsText" text="Green">
      <formula>NOT(ISERROR(SEARCH("Green",E1)))</formula>
    </cfRule>
    <cfRule type="containsText" dxfId="93" priority="21" operator="containsText" text="Red">
      <formula>NOT(ISERROR(SEARCH("Red",E1)))</formula>
    </cfRule>
  </conditionalFormatting>
  <conditionalFormatting sqref="E9">
    <cfRule type="containsText" dxfId="92" priority="11" operator="containsText" text="Complete">
      <formula>NOT(ISERROR(SEARCH("Complete",E9)))</formula>
    </cfRule>
    <cfRule type="containsText" dxfId="91" priority="12" operator="containsText" text="Green">
      <formula>NOT(ISERROR(SEARCH("Green",E9)))</formula>
    </cfRule>
    <cfRule type="containsText" dxfId="90" priority="13" operator="containsText" text="Yellow">
      <formula>NOT(ISERROR(SEARCH("Yellow",E9)))</formula>
    </cfRule>
  </conditionalFormatting>
  <conditionalFormatting sqref="E9">
    <cfRule type="containsText" dxfId="89" priority="10" operator="containsText" text="Red">
      <formula>NOT(ISERROR(SEARCH("Red",E9)))</formula>
    </cfRule>
  </conditionalFormatting>
  <conditionalFormatting sqref="E8">
    <cfRule type="containsText" dxfId="88" priority="7" operator="containsText" text="Complete">
      <formula>NOT(ISERROR(SEARCH("Complete",E8)))</formula>
    </cfRule>
    <cfRule type="containsText" dxfId="87" priority="8" operator="containsText" text="Green">
      <formula>NOT(ISERROR(SEARCH("Green",E8)))</formula>
    </cfRule>
    <cfRule type="containsText" dxfId="86" priority="9" operator="containsText" text="Yellow">
      <formula>NOT(ISERROR(SEARCH("Yellow",E8)))</formula>
    </cfRule>
  </conditionalFormatting>
  <conditionalFormatting sqref="E8">
    <cfRule type="containsText" dxfId="85" priority="6" operator="containsText" text="Red">
      <formula>NOT(ISERROR(SEARCH("Red",E8)))</formula>
    </cfRule>
  </conditionalFormatting>
  <conditionalFormatting sqref="E9">
    <cfRule type="containsText" dxfId="84" priority="3" operator="containsText" text="Complete">
      <formula>NOT(ISERROR(SEARCH("Complete",E9)))</formula>
    </cfRule>
    <cfRule type="containsText" dxfId="83" priority="4" operator="containsText" text="Green">
      <formula>NOT(ISERROR(SEARCH("Green",E9)))</formula>
    </cfRule>
    <cfRule type="containsText" dxfId="82" priority="5" operator="containsText" text="Yellow">
      <formula>NOT(ISERROR(SEARCH("Yellow",E9)))</formula>
    </cfRule>
  </conditionalFormatting>
  <conditionalFormatting sqref="E9">
    <cfRule type="containsText" dxfId="81" priority="2" operator="containsText" text="Red">
      <formula>NOT(ISERROR(SEARCH("Red",E9)))</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14746-E522-4438-994C-AA07F8E47D06}">
  <sheetPr codeName="Sheet6">
    <tabColor theme="0"/>
  </sheetPr>
  <dimension ref="A1:G6"/>
  <sheetViews>
    <sheetView workbookViewId="0">
      <selection activeCell="G2" sqref="G2"/>
    </sheetView>
  </sheetViews>
  <sheetFormatPr defaultRowHeight="14.4" x14ac:dyDescent="0.3"/>
  <cols>
    <col min="1" max="1" width="15.88671875" customWidth="1"/>
    <col min="2" max="2" width="7.109375" customWidth="1"/>
    <col min="3" max="3" width="27.6640625" customWidth="1"/>
    <col min="4" max="4" width="20.6640625" customWidth="1"/>
    <col min="5" max="5" width="14.33203125" bestFit="1" customWidth="1"/>
    <col min="6" max="6" width="32.109375" customWidth="1"/>
    <col min="7" max="7" width="74.44140625" customWidth="1"/>
  </cols>
  <sheetData>
    <row r="1" spans="1:7" x14ac:dyDescent="0.3">
      <c r="A1" s="46" t="s">
        <v>0</v>
      </c>
      <c r="B1" s="46" t="s">
        <v>114</v>
      </c>
      <c r="C1" s="46" t="s">
        <v>2</v>
      </c>
      <c r="D1" s="46" t="s">
        <v>3</v>
      </c>
      <c r="E1" s="46" t="s">
        <v>4</v>
      </c>
      <c r="F1" s="46" t="s">
        <v>5</v>
      </c>
      <c r="G1" s="47" t="s">
        <v>6</v>
      </c>
    </row>
    <row r="2" spans="1:7" ht="72" x14ac:dyDescent="0.3">
      <c r="A2" s="31" t="s">
        <v>115</v>
      </c>
      <c r="B2" s="53" t="s">
        <v>24</v>
      </c>
      <c r="C2" s="54" t="s">
        <v>116</v>
      </c>
      <c r="D2" s="55">
        <v>43666.375</v>
      </c>
      <c r="E2" s="41" t="s">
        <v>87</v>
      </c>
      <c r="F2" s="56" t="s">
        <v>117</v>
      </c>
      <c r="G2" s="59" t="s">
        <v>118</v>
      </c>
    </row>
    <row r="3" spans="1:7" ht="72" x14ac:dyDescent="0.3">
      <c r="A3" s="57" t="s">
        <v>119</v>
      </c>
      <c r="B3" s="48" t="s">
        <v>24</v>
      </c>
      <c r="C3" s="49" t="s">
        <v>120</v>
      </c>
      <c r="D3" s="50">
        <v>43666.375</v>
      </c>
      <c r="E3" s="51" t="s">
        <v>87</v>
      </c>
      <c r="F3" s="52" t="s">
        <v>121</v>
      </c>
      <c r="G3" s="58" t="s">
        <v>122</v>
      </c>
    </row>
    <row r="4" spans="1:7" ht="86.4" x14ac:dyDescent="0.3">
      <c r="A4" s="31" t="s">
        <v>123</v>
      </c>
      <c r="B4" s="53" t="s">
        <v>24</v>
      </c>
      <c r="C4" s="54" t="s">
        <v>124</v>
      </c>
      <c r="D4" s="55">
        <v>43666.458333333336</v>
      </c>
      <c r="E4" s="41" t="s">
        <v>87</v>
      </c>
      <c r="F4" s="56" t="s">
        <v>125</v>
      </c>
      <c r="G4" s="59" t="s">
        <v>126</v>
      </c>
    </row>
    <row r="5" spans="1:7" ht="86.4" x14ac:dyDescent="0.3">
      <c r="A5" s="57" t="s">
        <v>127</v>
      </c>
      <c r="B5" s="48" t="s">
        <v>24</v>
      </c>
      <c r="C5" s="49" t="s">
        <v>128</v>
      </c>
      <c r="D5" s="50">
        <v>43666.5</v>
      </c>
      <c r="E5" s="51" t="s">
        <v>87</v>
      </c>
      <c r="F5" s="52" t="s">
        <v>125</v>
      </c>
      <c r="G5" s="58" t="s">
        <v>129</v>
      </c>
    </row>
    <row r="6" spans="1:7" ht="159.6" customHeight="1" x14ac:dyDescent="0.3">
      <c r="A6" s="60" t="s">
        <v>130</v>
      </c>
      <c r="B6" s="61" t="s">
        <v>75</v>
      </c>
      <c r="C6" s="62" t="s">
        <v>131</v>
      </c>
      <c r="D6" s="63">
        <v>43664.791666666664</v>
      </c>
      <c r="E6" s="64" t="s">
        <v>60</v>
      </c>
      <c r="F6" s="60" t="s">
        <v>132</v>
      </c>
      <c r="G6" s="65" t="s">
        <v>133</v>
      </c>
    </row>
  </sheetData>
  <conditionalFormatting sqref="E7:E1048576">
    <cfRule type="containsText" dxfId="68" priority="11" operator="containsText" text="Complete">
      <formula>NOT(ISERROR(SEARCH("Complete",E7)))</formula>
    </cfRule>
    <cfRule type="containsText" dxfId="67" priority="12" operator="containsText" text="Red">
      <formula>NOT(ISERROR(SEARCH("Red",E7)))</formula>
    </cfRule>
    <cfRule type="containsText" dxfId="66" priority="13" operator="containsText" text="Yellow">
      <formula>NOT(ISERROR(SEARCH("Yellow",E7)))</formula>
    </cfRule>
    <cfRule type="containsText" dxfId="65" priority="14" operator="containsText" text="Green">
      <formula>NOT(ISERROR(SEARCH("Green",E7)))</formula>
    </cfRule>
  </conditionalFormatting>
  <conditionalFormatting sqref="E1:E5">
    <cfRule type="containsText" dxfId="64" priority="6" operator="containsText" text="Rollback">
      <formula>NOT(ISERROR(SEARCH("Rollback",E1)))</formula>
    </cfRule>
    <cfRule type="containsText" dxfId="63" priority="7" operator="containsText" text="Complete">
      <formula>NOT(ISERROR(SEARCH("Complete",E1)))</formula>
    </cfRule>
    <cfRule type="containsText" dxfId="62" priority="8" operator="containsText" text="Yellow">
      <formula>NOT(ISERROR(SEARCH("Yellow",E1)))</formula>
    </cfRule>
    <cfRule type="containsText" dxfId="61" priority="9" operator="containsText" text="Green">
      <formula>NOT(ISERROR(SEARCH("Green",E1)))</formula>
    </cfRule>
    <cfRule type="containsText" dxfId="60" priority="10" operator="containsText" text="Red">
      <formula>NOT(ISERROR(SEARCH("Red",E1)))</formula>
    </cfRule>
  </conditionalFormatting>
  <conditionalFormatting sqref="E6">
    <cfRule type="containsText" dxfId="59" priority="1" operator="containsText" text="Rollback">
      <formula>NOT(ISERROR(SEARCH("Rollback",E6)))</formula>
    </cfRule>
    <cfRule type="containsText" dxfId="58" priority="2" operator="containsText" text="Complete">
      <formula>NOT(ISERROR(SEARCH("Complete",E6)))</formula>
    </cfRule>
    <cfRule type="containsText" dxfId="57" priority="3" operator="containsText" text="Yellow">
      <formula>NOT(ISERROR(SEARCH("Yellow",E6)))</formula>
    </cfRule>
    <cfRule type="containsText" dxfId="56" priority="4" operator="containsText" text="Green">
      <formula>NOT(ISERROR(SEARCH("Green",E6)))</formula>
    </cfRule>
    <cfRule type="containsText" dxfId="55" priority="5" operator="containsText" text="Red">
      <formula>NOT(ISERROR(SEARCH("Red",E6)))</formula>
    </cfRule>
  </conditionalFormatting>
  <dataValidations count="2">
    <dataValidation type="list" allowBlank="1" showInputMessage="1" showErrorMessage="1" sqref="E6" xr:uid="{0E10FBBA-E4D2-4C91-B0D7-5B10C876FE78}">
      <formula1>"Complete,Green,Yellow,Red,Yet to Start, Yellow - Paused"</formula1>
    </dataValidation>
    <dataValidation type="list" allowBlank="1" showInputMessage="1" showErrorMessage="1" sqref="E2:E5 E7:E1048576" xr:uid="{F2B430F7-C8BB-45AC-8BBC-D745D7D04862}">
      <formula1>"Complete,Green,Yellow,Red,Yet to Start"</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4E19D-537D-499A-B0B0-3838F6D79BBA}">
  <sheetPr codeName="Sheet7">
    <tabColor theme="9"/>
  </sheetPr>
  <dimension ref="A1:G6"/>
  <sheetViews>
    <sheetView workbookViewId="0">
      <selection activeCell="G6" sqref="G6"/>
    </sheetView>
  </sheetViews>
  <sheetFormatPr defaultRowHeight="14.4" x14ac:dyDescent="0.3"/>
  <cols>
    <col min="1" max="1" width="16.33203125" customWidth="1"/>
    <col min="2" max="2" width="5.6640625" customWidth="1"/>
    <col min="3" max="3" width="24.77734375" customWidth="1"/>
    <col min="4" max="4" width="16.21875" customWidth="1"/>
    <col min="5" max="5" width="11" customWidth="1"/>
    <col min="6" max="6" width="32.109375" customWidth="1"/>
    <col min="7" max="7" width="74.44140625" customWidth="1"/>
  </cols>
  <sheetData>
    <row r="1" spans="1:7" x14ac:dyDescent="0.3">
      <c r="A1" s="67" t="s">
        <v>0</v>
      </c>
      <c r="B1" s="68" t="s">
        <v>114</v>
      </c>
      <c r="C1" s="68" t="s">
        <v>2</v>
      </c>
      <c r="D1" s="68" t="s">
        <v>3</v>
      </c>
      <c r="E1" s="68" t="s">
        <v>4</v>
      </c>
      <c r="F1" s="68" t="s">
        <v>5</v>
      </c>
      <c r="G1" s="69" t="s">
        <v>6</v>
      </c>
    </row>
    <row r="2" spans="1:7" ht="57.6" x14ac:dyDescent="0.3">
      <c r="A2" s="36" t="s">
        <v>208</v>
      </c>
      <c r="B2" s="70" t="s">
        <v>24</v>
      </c>
      <c r="C2" s="71" t="s">
        <v>141</v>
      </c>
      <c r="D2" s="72">
        <v>43672.979166666664</v>
      </c>
      <c r="E2" s="73" t="s">
        <v>138</v>
      </c>
      <c r="F2" s="74" t="s">
        <v>209</v>
      </c>
      <c r="G2" s="40"/>
    </row>
    <row r="3" spans="1:7" ht="57.6" x14ac:dyDescent="0.3">
      <c r="A3" s="30" t="s">
        <v>136</v>
      </c>
      <c r="B3" s="53" t="s">
        <v>24</v>
      </c>
      <c r="C3" s="71" t="s">
        <v>140</v>
      </c>
      <c r="D3" s="72">
        <v>43673.479166666664</v>
      </c>
      <c r="E3" s="73" t="s">
        <v>138</v>
      </c>
      <c r="F3" s="74" t="s">
        <v>207</v>
      </c>
      <c r="G3" s="40"/>
    </row>
    <row r="4" spans="1:7" ht="57.6" x14ac:dyDescent="0.3">
      <c r="A4" s="30" t="s">
        <v>137</v>
      </c>
      <c r="B4" s="53" t="s">
        <v>24</v>
      </c>
      <c r="C4" s="71" t="s">
        <v>142</v>
      </c>
      <c r="D4" s="72">
        <v>43673.6875</v>
      </c>
      <c r="E4" s="73" t="s">
        <v>138</v>
      </c>
      <c r="F4" s="74" t="s">
        <v>201</v>
      </c>
      <c r="G4" s="40"/>
    </row>
    <row r="5" spans="1:7" ht="57.6" x14ac:dyDescent="0.3">
      <c r="A5" s="30" t="s">
        <v>139</v>
      </c>
      <c r="B5" s="53" t="s">
        <v>24</v>
      </c>
      <c r="C5" s="71" t="s">
        <v>143</v>
      </c>
      <c r="D5" s="72">
        <v>43673.625</v>
      </c>
      <c r="E5" s="73" t="s">
        <v>138</v>
      </c>
      <c r="F5" s="74" t="s">
        <v>213</v>
      </c>
      <c r="G5" s="40"/>
    </row>
    <row r="6" spans="1:7" ht="57.6" x14ac:dyDescent="0.3">
      <c r="A6" s="36" t="s">
        <v>134</v>
      </c>
      <c r="B6" s="70" t="s">
        <v>24</v>
      </c>
      <c r="C6" s="71" t="s">
        <v>144</v>
      </c>
      <c r="D6" s="72">
        <v>43670.416666666664</v>
      </c>
      <c r="E6" s="73" t="s">
        <v>87</v>
      </c>
      <c r="F6" s="74" t="s">
        <v>135</v>
      </c>
      <c r="G6" s="40"/>
    </row>
  </sheetData>
  <conditionalFormatting sqref="E6:E1048576">
    <cfRule type="containsText" dxfId="54" priority="47" operator="containsText" text="Complete">
      <formula>NOT(ISERROR(SEARCH("Complete",E6)))</formula>
    </cfRule>
    <cfRule type="containsText" dxfId="53" priority="48" operator="containsText" text="Red">
      <formula>NOT(ISERROR(SEARCH("Red",E6)))</formula>
    </cfRule>
    <cfRule type="containsText" dxfId="52" priority="49" operator="containsText" text="Yellow">
      <formula>NOT(ISERROR(SEARCH("Yellow",E6)))</formula>
    </cfRule>
    <cfRule type="containsText" dxfId="51" priority="50" operator="containsText" text="Green">
      <formula>NOT(ISERROR(SEARCH("Green",E6)))</formula>
    </cfRule>
  </conditionalFormatting>
  <conditionalFormatting sqref="E1 E6">
    <cfRule type="containsText" dxfId="50" priority="42" operator="containsText" text="Rollback">
      <formula>NOT(ISERROR(SEARCH("Rollback",E1)))</formula>
    </cfRule>
    <cfRule type="containsText" dxfId="49" priority="43" operator="containsText" text="Complete">
      <formula>NOT(ISERROR(SEARCH("Complete",E1)))</formula>
    </cfRule>
    <cfRule type="containsText" dxfId="48" priority="44" operator="containsText" text="Yellow">
      <formula>NOT(ISERROR(SEARCH("Yellow",E1)))</formula>
    </cfRule>
    <cfRule type="containsText" dxfId="47" priority="45" operator="containsText" text="Green">
      <formula>NOT(ISERROR(SEARCH("Green",E1)))</formula>
    </cfRule>
    <cfRule type="containsText" dxfId="46" priority="46" operator="containsText" text="Red">
      <formula>NOT(ISERROR(SEARCH("Red",E1)))</formula>
    </cfRule>
  </conditionalFormatting>
  <conditionalFormatting sqref="E2">
    <cfRule type="containsText" dxfId="45" priority="33" operator="containsText" text="Complete">
      <formula>NOT(ISERROR(SEARCH("Complete",E2)))</formula>
    </cfRule>
    <cfRule type="containsText" dxfId="44" priority="34" operator="containsText" text="Red">
      <formula>NOT(ISERROR(SEARCH("Red",E2)))</formula>
    </cfRule>
    <cfRule type="containsText" dxfId="43" priority="35" operator="containsText" text="Yellow">
      <formula>NOT(ISERROR(SEARCH("Yellow",E2)))</formula>
    </cfRule>
    <cfRule type="containsText" dxfId="42" priority="36" operator="containsText" text="Green">
      <formula>NOT(ISERROR(SEARCH("Green",E2)))</formula>
    </cfRule>
  </conditionalFormatting>
  <conditionalFormatting sqref="E2">
    <cfRule type="containsText" dxfId="41" priority="28" operator="containsText" text="Rollback">
      <formula>NOT(ISERROR(SEARCH("Rollback",E2)))</formula>
    </cfRule>
    <cfRule type="containsText" dxfId="40" priority="29" operator="containsText" text="Complete">
      <formula>NOT(ISERROR(SEARCH("Complete",E2)))</formula>
    </cfRule>
    <cfRule type="containsText" dxfId="39" priority="30" operator="containsText" text="Yellow">
      <formula>NOT(ISERROR(SEARCH("Yellow",E2)))</formula>
    </cfRule>
    <cfRule type="containsText" dxfId="38" priority="31" operator="containsText" text="Green">
      <formula>NOT(ISERROR(SEARCH("Green",E2)))</formula>
    </cfRule>
    <cfRule type="containsText" dxfId="37" priority="32" operator="containsText" text="Red">
      <formula>NOT(ISERROR(SEARCH("Red",E2)))</formula>
    </cfRule>
  </conditionalFormatting>
  <conditionalFormatting sqref="E3">
    <cfRule type="containsText" dxfId="36" priority="24" operator="containsText" text="Complete">
      <formula>NOT(ISERROR(SEARCH("Complete",E3)))</formula>
    </cfRule>
    <cfRule type="containsText" dxfId="35" priority="25" operator="containsText" text="Red">
      <formula>NOT(ISERROR(SEARCH("Red",E3)))</formula>
    </cfRule>
    <cfRule type="containsText" dxfId="34" priority="26" operator="containsText" text="Yellow">
      <formula>NOT(ISERROR(SEARCH("Yellow",E3)))</formula>
    </cfRule>
    <cfRule type="containsText" dxfId="33" priority="27" operator="containsText" text="Green">
      <formula>NOT(ISERROR(SEARCH("Green",E3)))</formula>
    </cfRule>
  </conditionalFormatting>
  <conditionalFormatting sqref="E3">
    <cfRule type="containsText" dxfId="32" priority="19" operator="containsText" text="Rollback">
      <formula>NOT(ISERROR(SEARCH("Rollback",E3)))</formula>
    </cfRule>
    <cfRule type="containsText" dxfId="31" priority="20" operator="containsText" text="Complete">
      <formula>NOT(ISERROR(SEARCH("Complete",E3)))</formula>
    </cfRule>
    <cfRule type="containsText" dxfId="30" priority="21" operator="containsText" text="Yellow">
      <formula>NOT(ISERROR(SEARCH("Yellow",E3)))</formula>
    </cfRule>
    <cfRule type="containsText" dxfId="29" priority="22" operator="containsText" text="Green">
      <formula>NOT(ISERROR(SEARCH("Green",E3)))</formula>
    </cfRule>
    <cfRule type="containsText" dxfId="28" priority="23" operator="containsText" text="Red">
      <formula>NOT(ISERROR(SEARCH("Red",E3)))</formula>
    </cfRule>
  </conditionalFormatting>
  <conditionalFormatting sqref="E4">
    <cfRule type="containsText" dxfId="27" priority="15" operator="containsText" text="Complete">
      <formula>NOT(ISERROR(SEARCH("Complete",E4)))</formula>
    </cfRule>
    <cfRule type="containsText" dxfId="26" priority="16" operator="containsText" text="Red">
      <formula>NOT(ISERROR(SEARCH("Red",E4)))</formula>
    </cfRule>
    <cfRule type="containsText" dxfId="25" priority="17" operator="containsText" text="Yellow">
      <formula>NOT(ISERROR(SEARCH("Yellow",E4)))</formula>
    </cfRule>
    <cfRule type="containsText" dxfId="24" priority="18" operator="containsText" text="Green">
      <formula>NOT(ISERROR(SEARCH("Green",E4)))</formula>
    </cfRule>
  </conditionalFormatting>
  <conditionalFormatting sqref="E4">
    <cfRule type="containsText" dxfId="23" priority="10" operator="containsText" text="Rollback">
      <formula>NOT(ISERROR(SEARCH("Rollback",E4)))</formula>
    </cfRule>
    <cfRule type="containsText" dxfId="22" priority="11" operator="containsText" text="Complete">
      <formula>NOT(ISERROR(SEARCH("Complete",E4)))</formula>
    </cfRule>
    <cfRule type="containsText" dxfId="21" priority="12" operator="containsText" text="Yellow">
      <formula>NOT(ISERROR(SEARCH("Yellow",E4)))</formula>
    </cfRule>
    <cfRule type="containsText" dxfId="20" priority="13" operator="containsText" text="Green">
      <formula>NOT(ISERROR(SEARCH("Green",E4)))</formula>
    </cfRule>
    <cfRule type="containsText" dxfId="19" priority="14" operator="containsText" text="Red">
      <formula>NOT(ISERROR(SEARCH("Red",E4)))</formula>
    </cfRule>
  </conditionalFormatting>
  <conditionalFormatting sqref="E5">
    <cfRule type="containsText" dxfId="18" priority="6" operator="containsText" text="Complete">
      <formula>NOT(ISERROR(SEARCH("Complete",E5)))</formula>
    </cfRule>
    <cfRule type="containsText" dxfId="17" priority="7" operator="containsText" text="Red">
      <formula>NOT(ISERROR(SEARCH("Red",E5)))</formula>
    </cfRule>
    <cfRule type="containsText" dxfId="16" priority="8" operator="containsText" text="Yellow">
      <formula>NOT(ISERROR(SEARCH("Yellow",E5)))</formula>
    </cfRule>
    <cfRule type="containsText" dxfId="15" priority="9" operator="containsText" text="Green">
      <formula>NOT(ISERROR(SEARCH("Green",E5)))</formula>
    </cfRule>
  </conditionalFormatting>
  <conditionalFormatting sqref="E5">
    <cfRule type="containsText" dxfId="14" priority="1" operator="containsText" text="Rollback">
      <formula>NOT(ISERROR(SEARCH("Rollback",E5)))</formula>
    </cfRule>
    <cfRule type="containsText" dxfId="13" priority="2" operator="containsText" text="Complete">
      <formula>NOT(ISERROR(SEARCH("Complete",E5)))</formula>
    </cfRule>
    <cfRule type="containsText" dxfId="12" priority="3" operator="containsText" text="Yellow">
      <formula>NOT(ISERROR(SEARCH("Yellow",E5)))</formula>
    </cfRule>
    <cfRule type="containsText" dxfId="11" priority="4" operator="containsText" text="Green">
      <formula>NOT(ISERROR(SEARCH("Green",E5)))</formula>
    </cfRule>
    <cfRule type="containsText" dxfId="10" priority="5" operator="containsText" text="Red">
      <formula>NOT(ISERROR(SEARCH("Red",E5)))</formula>
    </cfRule>
  </conditionalFormatting>
  <dataValidations count="1">
    <dataValidation type="list" allowBlank="1" showInputMessage="1" showErrorMessage="1" sqref="E2:E1048576" xr:uid="{9A5ECBEE-1C11-4DFC-B591-55ACEEC052AF}">
      <formula1>"Complete,Green,Yellow,Red,Yet to Start"</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Week - 1706</vt:lpstr>
      <vt:lpstr>Week - 2406</vt:lpstr>
      <vt:lpstr>Week - 0107</vt:lpstr>
      <vt:lpstr>Task Tracker</vt:lpstr>
      <vt:lpstr>Week - 0807</vt:lpstr>
      <vt:lpstr>Week - 1507</vt:lpstr>
      <vt:lpstr>Week - 2207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Ajay Kundnani</dc:creator>
  <cp:keywords/>
  <dc:description/>
  <cp:lastModifiedBy>v-bukaka</cp:lastModifiedBy>
  <cp:revision/>
  <dcterms:created xsi:type="dcterms:W3CDTF">2019-06-22T13:24:36Z</dcterms:created>
  <dcterms:modified xsi:type="dcterms:W3CDTF">2019-07-26T06:22:58Z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ajkundna@microsoft.com</vt:lpwstr>
  </property>
  <property fmtid="{D5CDD505-2E9C-101B-9397-08002B2CF9AE}" pid="5" name="MSIP_Label_f42aa342-8706-4288-bd11-ebb85995028c_SetDate">
    <vt:lpwstr>2019-06-22T13:52:11.9315975Z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0328a671-60a5-494e-9f0d-f426c301e768</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